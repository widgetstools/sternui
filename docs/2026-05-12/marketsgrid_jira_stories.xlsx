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ics" sheetId="1" state="visible" r:id="rId1"/>
    <sheet name="Stories" sheetId="2" state="visible" r:id="rId2"/>
    <sheet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1"/>
    </font>
    <font>
      <name val="Arial"/>
      <sz val="10"/>
    </font>
    <font>
      <name val="Arial"/>
      <b val="1"/>
      <sz val="10"/>
    </font>
    <font>
      <name val="Arial"/>
      <b val="1"/>
      <sz val="14"/>
    </font>
    <font>
      <name val="Arial"/>
      <i val="1"/>
      <color rgb="00595959"/>
      <sz val="10"/>
    </font>
    <font>
      <name val="Arial"/>
      <b val="1"/>
      <sz val="11"/>
    </font>
  </fonts>
  <fills count="7">
    <fill>
      <patternFill/>
    </fill>
    <fill>
      <patternFill patternType="gray125"/>
    </fill>
    <fill>
      <patternFill patternType="solid">
        <fgColor rgb="001F4E78"/>
      </patternFill>
    </fill>
    <fill>
      <patternFill patternType="solid">
        <fgColor rgb="00F2F2F2"/>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0" pivotButton="0" quotePrefix="0" xfId="0"/>
    <xf numFmtId="0" fontId="5" fillId="0" borderId="0" pivotButton="0" quotePrefix="0" xfId="0"/>
    <xf numFmtId="0" fontId="2" fillId="0" borderId="1" pivotButton="0" quotePrefix="0" xfId="0"/>
    <xf numFmtId="1" fontId="2" fillId="0" borderId="1" pivotButton="0" quotePrefix="0" xfId="0"/>
    <xf numFmtId="164" fontId="2" fillId="0" borderId="1" pivotButton="0" quotePrefix="0" xfId="0"/>
    <xf numFmtId="0" fontId="6" fillId="0" borderId="0" pivotButton="0" quotePrefix="0" xfId="0"/>
    <xf numFmtId="0" fontId="2" fillId="0" borderId="1" applyAlignment="1" pivotButton="0" quotePrefix="0" xfId="0">
      <alignment horizontal="right" vertical="top" wrapText="1"/>
    </xf>
    <xf numFmtId="0" fontId="2" fillId="3" borderId="1" applyAlignment="1" pivotButton="0" quotePrefix="0" xfId="0">
      <alignment horizontal="right" vertical="top" wrapText="1"/>
    </xf>
    <xf numFmtId="0" fontId="3" fillId="4" borderId="1" applyAlignment="1" pivotButton="0" quotePrefix="0" xfId="0">
      <alignment horizontal="left" vertical="center"/>
    </xf>
    <xf numFmtId="0" fontId="2" fillId="0" borderId="1" applyAlignment="1" pivotButton="0" quotePrefix="0" xfId="0">
      <alignment horizontal="right" vertical="center"/>
    </xf>
    <xf numFmtId="0" fontId="3" fillId="6" borderId="1" applyAlignment="1" pivotButton="0" quotePrefix="0" xfId="0">
      <alignment horizontal="left" vertical="center"/>
    </xf>
    <xf numFmtId="0" fontId="3" fillId="5" borderId="1" applyAlignment="1" pivotButton="0" quotePrefix="0" xfId="0">
      <alignment horizontal="left"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11" customWidth="1" min="1" max="1"/>
    <col width="44" customWidth="1" min="2" max="2"/>
    <col width="70" customWidth="1" min="3" max="3"/>
    <col width="55" customWidth="1" min="4" max="4"/>
  </cols>
  <sheetData>
    <row r="1" ht="26" customHeight="1">
      <c r="A1" s="1" t="inlineStr">
        <is>
          <t>Epic Key</t>
        </is>
      </c>
      <c r="B1" s="1" t="inlineStr">
        <is>
          <t>Epic Name</t>
        </is>
      </c>
      <c r="C1" s="1" t="inlineStr">
        <is>
          <t>Description</t>
        </is>
      </c>
      <c r="D1" s="1" t="inlineStr">
        <is>
          <t>Primary Code Location</t>
        </is>
      </c>
    </row>
    <row r="2" ht="46" customHeight="1">
      <c r="A2" s="2" t="inlineStr">
        <is>
          <t>MG-E1</t>
        </is>
      </c>
      <c r="B2" s="2" t="inlineStr">
        <is>
          <t>MarketsGrid Public Component &amp; Toolbar Chrome</t>
        </is>
      </c>
      <c r="C2" s="2" t="inlineStr">
        <is>
          <t>Top-level &lt;MarketsGrid&gt; React widget — props, imperative handle, primary toolbar with editable caption, save flash, settings/admin buttons, info popover.</t>
        </is>
      </c>
      <c r="D2" s="2" t="inlineStr">
        <is>
          <t>packages/react/widgets/markets-grid/src/MarketsGrid.tsx</t>
        </is>
      </c>
    </row>
    <row r="3" ht="46" customHeight="1">
      <c r="A3" s="3" t="inlineStr">
        <is>
          <t>MG-E2</t>
        </is>
      </c>
      <c r="B3" s="3" t="inlineStr">
        <is>
          <t>AG-Grid Enterprise Integration</t>
        </is>
      </c>
      <c r="C3" s="3" t="inlineStr">
        <is>
          <t>Sorting, filtering, grouping, pivoting, pagination, side bar, status bar, frozen rows/columns, virtual scrolling, copy/paste, Excel export — surfaced through MarketsGrid props.</t>
        </is>
      </c>
      <c r="D3" s="3" t="inlineStr">
        <is>
          <t>packages/react/widgets/markets-grid (AgGridReact wrapper)</t>
        </is>
      </c>
    </row>
    <row r="4" ht="46" customHeight="1">
      <c r="A4" s="2" t="inlineStr">
        <is>
          <t>MG-E3</t>
        </is>
      </c>
      <c r="B4" s="2" t="inlineStr">
        <is>
          <t>Streaming Data Performance</t>
        </is>
      </c>
      <c r="C4" s="2" t="inlineStr">
        <is>
          <t>Optimizations for live-updating data: 100ms transaction batching, focus-stable filter inputs, surgical repaints on conditional styling.</t>
        </is>
      </c>
      <c r="D4" s="2" t="inlineStr">
        <is>
          <t>packages/react/widgets/markets-grid + grid-react/src/modules</t>
        </is>
      </c>
    </row>
    <row r="5" ht="46" customHeight="1">
      <c r="A5" s="3" t="inlineStr">
        <is>
          <t>MG-E4</t>
        </is>
      </c>
      <c r="B5" s="3" t="inlineStr">
        <is>
          <t>Grid Platform &amp; Module System (Core)</t>
        </is>
      </c>
      <c r="C5" s="3" t="inlineStr">
        <is>
          <t>Vanilla-TS GridPlatform: EventBus, ApiHub, ResourceScope, CssInjector, PipelineRunner, topo-sorted module activation, dirty bus.</t>
        </is>
      </c>
      <c r="D5" s="3" t="inlineStr">
        <is>
          <t>packages/shared/core/src/platform/*</t>
        </is>
      </c>
    </row>
    <row r="6" ht="46" customHeight="1">
      <c r="A6" s="2" t="inlineStr">
        <is>
          <t>MG-E5</t>
        </is>
      </c>
      <c r="B6" s="2" t="inlineStr">
        <is>
          <t>Layout / Profile Management</t>
        </is>
      </c>
      <c r="C6" s="2" t="inlineStr">
        <is>
          <t>Layouts as named saved combos of everything. ProfileManager state machine, switch dialog, clone naming, JSON export/import, browser unload warning.</t>
        </is>
      </c>
      <c r="D6" s="2" t="inlineStr">
        <is>
          <t>packages/shared/core/src/profiles, ProfileSelector.tsx</t>
        </is>
      </c>
    </row>
    <row r="7" ht="46" customHeight="1">
      <c r="A7" s="3" t="inlineStr">
        <is>
          <t>MG-E6</t>
        </is>
      </c>
      <c r="B7" s="3" t="inlineStr">
        <is>
          <t>Column Customization Module</t>
        </is>
      </c>
      <c r="C7" s="3" t="inlineStr">
        <is>
          <t>Per-column overrides: header, width, pinning, style, filter config, editor, formatter, row grouping, template chain.</t>
        </is>
      </c>
      <c r="D7" s="3" t="inlineStr">
        <is>
          <t>packages/react/widgets/grid-react/src/modules/column-customization</t>
        </is>
      </c>
    </row>
    <row r="8" ht="46" customHeight="1">
      <c r="A8" s="2" t="inlineStr">
        <is>
          <t>MG-E7</t>
        </is>
      </c>
      <c r="B8" s="2" t="inlineStr">
        <is>
          <t>Column Templates Module</t>
        </is>
      </c>
      <c r="C8" s="2" t="inlineStr">
        <is>
          <t>Reusable override bundles with type-default fallback; authored from Formatting Toolbar.</t>
        </is>
      </c>
      <c r="D8" s="2" t="inlineStr">
        <is>
          <t>packages/react/widgets/grid-react/src/modules/column-templates</t>
        </is>
      </c>
    </row>
    <row r="9" ht="46" customHeight="1">
      <c r="A9" s="3" t="inlineStr">
        <is>
          <t>MG-E8</t>
        </is>
      </c>
      <c r="B9" s="3" t="inlineStr">
        <is>
          <t>Calculated Columns Module</t>
        </is>
      </c>
      <c r="C9" s="3" t="inlineStr">
        <is>
          <t>Virtual expression-driven columns; transformColumnDefs append, cache invalidation, FormatterPicker integration.</t>
        </is>
      </c>
      <c r="D9" s="3" t="inlineStr">
        <is>
          <t>packages/react/widgets/grid-react/src/modules/calculated-columns</t>
        </is>
      </c>
    </row>
    <row r="10" ht="46" customHeight="1">
      <c r="A10" s="2" t="inlineStr">
        <is>
          <t>MG-E9</t>
        </is>
      </c>
      <c r="B10" s="2" t="inlineStr">
        <is>
          <t>Column Groups Module</t>
        </is>
      </c>
      <c r="C10" s="2" t="inlineStr">
        <is>
          <t>Nestable group editor with per-group header styling, openByDefault, marryChildren, tri-state child visibility.</t>
        </is>
      </c>
      <c r="D10" s="2" t="inlineStr">
        <is>
          <t>packages/react/widgets/grid-react/src/modules/column-groups</t>
        </is>
      </c>
    </row>
    <row r="11" ht="46" customHeight="1">
      <c r="A11" s="3" t="inlineStr">
        <is>
          <t>MG-E10</t>
        </is>
      </c>
      <c r="B11" s="3" t="inlineStr">
        <is>
          <t>Conditional Styling Module</t>
        </is>
      </c>
      <c r="C11" s="3" t="inlineStr">
        <is>
          <t>IF/THEN rule editor: per-rule expression, scope (cell/row), style, flash, indicator icons, time-limited activations, priority cascade.</t>
        </is>
      </c>
      <c r="D11" s="3" t="inlineStr">
        <is>
          <t>packages/react/widgets/grid-react/src/modules/conditional-styling</t>
        </is>
      </c>
    </row>
    <row r="12" ht="46" customHeight="1">
      <c r="A12" s="2" t="inlineStr">
        <is>
          <t>MG-E11</t>
        </is>
      </c>
      <c r="B12" s="2" t="inlineStr">
        <is>
          <t>Grid State Persistence Module</t>
        </is>
      </c>
      <c r="C12" s="2" t="inlineStr">
        <is>
          <t>Capture/replay AG-Grid native state on explicit Save; viewport anchor; quickFilter; reset on new layout.</t>
        </is>
      </c>
      <c r="D12" s="2" t="inlineStr">
        <is>
          <t>packages/react/widgets/grid-react/src/modules/grid-state</t>
        </is>
      </c>
    </row>
    <row r="13" ht="46" customHeight="1">
      <c r="A13" s="3" t="inlineStr">
        <is>
          <t>MG-E12</t>
        </is>
      </c>
      <c r="B13" s="3" t="inlineStr">
        <is>
          <t>Saved Filters Module</t>
        </is>
      </c>
      <c r="C13" s="3" t="inlineStr">
        <is>
          <t>Opaque per-layout filter pill state with structural validation on deserialize.</t>
        </is>
      </c>
      <c r="D13" s="3" t="inlineStr">
        <is>
          <t>packages/react/widgets/grid-react/src/modules/saved-filters</t>
        </is>
      </c>
    </row>
    <row r="14" ht="46" customHeight="1">
      <c r="A14" s="2" t="inlineStr">
        <is>
          <t>MG-E13</t>
        </is>
      </c>
      <c r="B14" s="2" t="inlineStr">
        <is>
          <t>Toolbar Visibility Module</t>
        </is>
      </c>
      <c r="C14" s="2" t="inlineStr">
        <is>
          <t>Per-toolbar boolean visibility map persisted in layout.</t>
        </is>
      </c>
      <c r="D14" s="2" t="inlineStr">
        <is>
          <t>packages/react/widgets/grid-react/src/modules/toolbar-visibility</t>
        </is>
      </c>
    </row>
    <row r="15" ht="46" customHeight="1">
      <c r="A15" s="3" t="inlineStr">
        <is>
          <t>MG-E14</t>
        </is>
      </c>
      <c r="B15" s="3" t="inlineStr">
        <is>
          <t>Grid Options Settings Panel (general-settings)</t>
        </is>
      </c>
      <c r="C15" s="3" t="inlineStr">
        <is>
          <t>~40 AG-Grid global settings: heights, pagination, selection, grouping, pivot, filter/sort, editing, tooltips, undo/redo, sidebar, status bar, default colDef.</t>
        </is>
      </c>
      <c r="D15" s="3" t="inlineStr">
        <is>
          <t>packages/react/widgets/grid-react/src/modules/general-settings</t>
        </is>
      </c>
    </row>
    <row r="16" ht="46" customHeight="1">
      <c r="A16" s="2" t="inlineStr">
        <is>
          <t>MG-E15</t>
        </is>
      </c>
      <c r="B16" s="2" t="inlineStr">
        <is>
          <t>Expression Engine &amp; Monaco Editor</t>
        </is>
      </c>
      <c r="C16" s="2" t="inlineStr">
        <is>
          <t>CSP-safe tokenizer/parser/evaluator; Monaco shell with completions, diagnostics, palette, popout bridge.</t>
        </is>
      </c>
      <c r="D16" s="2" t="inlineStr">
        <is>
          <t>packages/shared/core/src/expression, grid-react/src/ui/ExpressionEditor</t>
        </is>
      </c>
    </row>
    <row r="17" ht="46" customHeight="1">
      <c r="A17" s="3" t="inlineStr">
        <is>
          <t>MG-E16</t>
        </is>
      </c>
      <c r="B17" s="3" t="inlineStr">
        <is>
          <t>Formatter System &amp; FormatterPicker</t>
        </is>
      </c>
      <c r="C17" s="3" t="inlineStr">
        <is>
          <t>ValueFormatterTemplate kinds; preset catalogue (currency/percent/bps/bond ticks/Excel format/date/string/bool); live sample preview.</t>
        </is>
      </c>
      <c r="D17" s="3" t="inlineStr">
        <is>
          <t>packages/react/widgets/grid-react/src/ui/FormatterPicker</t>
        </is>
      </c>
    </row>
    <row r="18" ht="46" customHeight="1">
      <c r="A18" s="2" t="inlineStr">
        <is>
          <t>MG-E17</t>
        </is>
      </c>
      <c r="B18" s="2" t="inlineStr">
        <is>
          <t>Settings Drawer &amp; Cockpit UI Primitives</t>
        </is>
      </c>
      <c r="C18" s="2" t="inlineStr">
        <is>
          <t>Three-column poppable settings drawer; PanelChrome, Band, ItemCard, PillToggle, Stepper, DirtyDot, StyleEditor, etc.</t>
        </is>
      </c>
      <c r="D18" s="2" t="inlineStr">
        <is>
          <t>packages/react/widgets/grid-react/src/ui/SettingsPanel + StyleEditor</t>
        </is>
      </c>
    </row>
    <row r="19" ht="46" customHeight="1">
      <c r="A19" s="3" t="inlineStr">
        <is>
          <t>MG-E18</t>
        </is>
      </c>
      <c r="B19" s="3" t="inlineStr">
        <is>
          <t>Formatting Toolbar</t>
        </is>
      </c>
      <c r="C19" s="3" t="inlineStr">
        <is>
          <t>Inline-pinned + draggable popout; Context/Type/Paint/Format/Library/EditorFilter/Clear modules; brush pill; live sample; undo/redo.</t>
        </is>
      </c>
      <c r="D19" s="3" t="inlineStr">
        <is>
          <t>packages/react/widgets/markets-grid/src/FormattingToolbar.tsx, formatter/*</t>
        </is>
      </c>
    </row>
    <row r="20" ht="46" customHeight="1">
      <c r="A20" s="2" t="inlineStr">
        <is>
          <t>MG-E19</t>
        </is>
      </c>
      <c r="B20" s="2" t="inlineStr">
        <is>
          <t>Filter Pills Bar</t>
        </is>
      </c>
      <c r="C20" s="2" t="inlineStr">
        <is>
          <t>Saved-filter chips with match-count badges; add/toggle/rename/delete/clear-all; underlying-filter JSON edit popover; horizontal scroll; collapse summary.</t>
        </is>
      </c>
      <c r="D20" s="2" t="inlineStr">
        <is>
          <t>packages/react/widgets/markets-grid/src/FiltersToolbar.tsx, filtersToolbarLogic.ts</t>
        </is>
      </c>
    </row>
    <row r="21" ht="46" customHeight="1">
      <c r="A21" s="3" t="inlineStr">
        <is>
          <t>MG-E20</t>
        </is>
      </c>
      <c r="B21" s="3" t="inlineStr">
        <is>
          <t>Design System Foundation</t>
        </is>
      </c>
      <c r="C21" s="3" t="inlineStr">
        <is>
          <t>Token primitives, semantic dark/light themes, AG-Grid theme adapter, Tailwind/PrimeNG/shadcn presets, trading cell renderers.</t>
        </is>
      </c>
      <c r="D21" s="3" t="inlineStr">
        <is>
          <t>packages/shared/foundation/design-system</t>
        </is>
      </c>
    </row>
    <row r="22" ht="46" customHeight="1">
      <c r="A22" s="2" t="inlineStr">
        <is>
          <t>MG-E21</t>
        </is>
      </c>
      <c r="B22" s="2" t="inlineStr">
        <is>
          <t>Storage Adapters</t>
        </is>
      </c>
      <c r="C22" s="2" t="inlineStr">
        <is>
          <t>StorageAdapter contract; MemoryAdapter, DexieAdapter; StorageAdapterFactory pattern; grid-level data slot.</t>
        </is>
      </c>
      <c r="D22" s="2" t="inlineStr">
        <is>
          <t>packages/shared/core/src/persistence</t>
        </is>
      </c>
    </row>
    <row r="23" ht="46" customHeight="1">
      <c r="A23" s="3" t="inlineStr">
        <is>
          <t>MG-E22</t>
        </is>
      </c>
      <c r="B23" s="3" t="inlineStr">
        <is>
          <t>ConfigService Integration</t>
        </is>
      </c>
      <c r="C23" s="3" t="inlineStr">
        <is>
          <t>Bundle-row layout format; identity-bound rows; template-to-instance pre-clone; optimistic concurrency; ProfileSet version conflict; migrateProfilesToConfigService.</t>
        </is>
      </c>
      <c r="D23" s="3" t="inlineStr">
        <is>
          <t>packages/shared/services/config-service/src/profileStorage</t>
        </is>
      </c>
    </row>
    <row r="24" ht="46" customHeight="1">
      <c r="A24" s="2" t="inlineStr">
        <is>
          <t>MG-E23</t>
        </is>
      </c>
      <c r="B24" s="2" t="inlineStr">
        <is>
          <t>Popout / OpenFin Window Support</t>
        </is>
      </c>
      <c r="C24" s="2" t="inlineStr">
        <is>
          <t>PopoutPortal, Poppable; OpenFin frameless alwaysOnTop windows with custom draggable title bar; buried-popout detection; portal container.</t>
        </is>
      </c>
      <c r="D24" s="2" t="inlineStr">
        <is>
          <t>packages/react/widgets/grid-react/src/ui/popout, openfin window opener</t>
        </is>
      </c>
    </row>
    <row r="25" ht="46" customHeight="1">
      <c r="A25" s="3" t="inlineStr">
        <is>
          <t>MG-E24</t>
        </is>
      </c>
      <c r="B25" s="3" t="inlineStr">
        <is>
          <t>Expression Security Policy</t>
        </is>
      </c>
      <c r="C25" s="3" t="inlineStr">
        <is>
          <t>configureExpressionPolicy modes; compile-time + import-time enforcement; sanitize on import.</t>
        </is>
      </c>
      <c r="D25" s="3" t="inlineStr">
        <is>
          <t>packages/shared/core/src/expression/policy</t>
        </is>
      </c>
    </row>
    <row r="26" ht="46" customHeight="1">
      <c r="A26" s="2" t="inlineStr">
        <is>
          <t>MG-E25</t>
        </is>
      </c>
      <c r="B26" s="2" t="inlineStr">
        <is>
          <t>Admin Actions</t>
        </is>
      </c>
      <c r="C26" s="2" t="inlineStr">
        <is>
          <t>Settings Tools menu host extensibility: id/label/icon/description/onClick/visible entries; Refresh as built-in.</t>
        </is>
      </c>
      <c r="D26" s="2" t="inlineStr">
        <is>
          <t>packages/react/widgets/markets-grid/src/types.ts, SettingsSheet.tsx</t>
        </is>
      </c>
    </row>
    <row r="27" ht="46" customHeight="1">
      <c r="A27" s="3" t="inlineStr">
        <is>
          <t>MG-E26</t>
        </is>
      </c>
      <c r="B27" s="3" t="inlineStr">
        <is>
          <t>App-Data Binding</t>
        </is>
      </c>
      <c r="C27" s="3" t="inlineStr">
        <is>
          <t>AppDataStore named key/value cross-component registry; {{providerName.key}} template resolution for provider configs and cell-editor valuesSource.</t>
        </is>
      </c>
      <c r="D27" s="3" t="inlineStr">
        <is>
          <t>packages/shared/services/data-services + grid-react cell editors</t>
        </is>
      </c>
    </row>
    <row r="28" ht="46" customHeight="1">
      <c r="A28" s="2" t="inlineStr">
        <is>
          <t>MG-E27</t>
        </is>
      </c>
      <c r="B28" s="2" t="inlineStr">
        <is>
          <t>MarketsGridContainer (Data Provider Layer)</t>
        </is>
      </c>
      <c r="C28" s="2" t="inlineStr">
        <is>
          <t>v2 container wrapping &lt;MarketsGrid&gt;; resolves provider configs, mounts ProviderToolbar in headerExtras, handles two-phase data flow + refresh.</t>
        </is>
      </c>
      <c r="D28" s="2" t="inlineStr">
        <is>
          <t>packages/react/widgets/widgets-react/src/v2/markets-grid-container</t>
        </is>
      </c>
    </row>
    <row r="29" ht="46" customHeight="1">
      <c r="A29" s="3" t="inlineStr">
        <is>
          <t>MG-E28</t>
        </is>
      </c>
      <c r="B29" s="3" t="inlineStr">
        <is>
          <t>Data Services Runtime</t>
        </is>
      </c>
      <c r="C29" s="3" t="inlineStr">
        <is>
          <t>SharedWorker hub + main-thread client; REST/STOMP/WebSocket providers; probes; AppDataStore + mirror.</t>
        </is>
      </c>
      <c r="D29" s="3" t="inlineStr">
        <is>
          <t>packages/shared/services/data-services</t>
        </is>
      </c>
    </row>
    <row r="30" ht="46" customHeight="1">
      <c r="A30" s="2" t="inlineStr">
        <is>
          <t>MG-E29</t>
        </is>
      </c>
      <c r="B30" s="2" t="inlineStr">
        <is>
          <t>Data Provider Editor</t>
        </is>
      </c>
      <c r="C30" s="2" t="inlineStr">
        <is>
          <t>Live + Historical provider forms; STOMP/REST/mock subtypes; field inference; configs persisted as ConfigService rows.</t>
        </is>
      </c>
      <c r="D30" s="2" t="inlineStr">
        <is>
          <t>packages/react/widgets/widgets-react/src/v2/provider-editor, widgets-angular</t>
        </is>
      </c>
    </row>
    <row r="31" ht="46" customHeight="1">
      <c r="A31" s="3" t="inlineStr">
        <is>
          <t>MG-E30</t>
        </is>
      </c>
      <c r="B31" s="3" t="inlineStr">
        <is>
          <t>Config Service Core</t>
        </is>
      </c>
      <c r="C31" s="3" t="inlineStr">
        <is>
          <t>ConfigClient (local/REST), Dexie schema, auth tables, optimistic locking, visibility rules, impersonation.</t>
        </is>
      </c>
      <c r="D31" s="3" t="inlineStr">
        <is>
          <t>packages/shared/services/config-service</t>
        </is>
      </c>
    </row>
    <row r="32" ht="46" customHeight="1">
      <c r="A32" s="2" t="inlineStr">
        <is>
          <t>MG-E31</t>
        </is>
      </c>
      <c r="B32" s="2" t="inlineStr">
        <is>
          <t>Config Browser Tools</t>
        </is>
      </c>
      <c r="C32" s="2" t="inlineStr">
        <is>
          <t>React + Angular config-browser apps for AppRegistry/UserProfile/Role/Permission editing; PermissionMatrix; RoleAssignmentMatrix.</t>
        </is>
      </c>
      <c r="D32" s="2" t="inlineStr">
        <is>
          <t>packages/react/tools/config-browser-react, packages/angular/tools/config-browser-angular</t>
        </is>
      </c>
    </row>
    <row r="33" ht="46" customHeight="1">
      <c r="A33" s="3" t="inlineStr">
        <is>
          <t>MG-E32</t>
        </is>
      </c>
      <c r="B33" s="3" t="inlineStr">
        <is>
          <t>Runtime Port &amp; Host Wrappers</t>
        </is>
      </c>
      <c r="C33" s="3" t="inlineStr">
        <is>
          <t>RuntimePort interface (Seam #1); runtime-browser + runtime-openfin impls; HostWrapper React/Angular (Seam #2); component-host helpers.</t>
        </is>
      </c>
      <c r="D33" s="3" t="inlineStr">
        <is>
          <t>packages/shared/runtime/*, packages/react/hosts, packages/angular/hosts</t>
        </is>
      </c>
    </row>
    <row r="34" ht="46" customHeight="1">
      <c r="A34" s="2" t="inlineStr">
        <is>
          <t>MG-E33</t>
        </is>
      </c>
      <c r="B34" s="2" t="inlineStr">
        <is>
          <t>OpenFin Platform &amp; Workspace Integration</t>
        </is>
      </c>
      <c r="C34" s="2" t="inlineStr">
        <is>
          <t>WorkspacePlatformOverrideCallback redirecting workspace CRUD to ConfigService; awaited workspace-save fan-out; dock buttons; IAB topics; registered-component launch.</t>
        </is>
      </c>
      <c r="D34" s="2" t="inlineStr">
        <is>
          <t>packages/shared/platform/openfin-platform</t>
        </is>
      </c>
    </row>
    <row r="35" ht="46" customHeight="1">
      <c r="A35" s="3" t="inlineStr">
        <is>
          <t>MG-E34</t>
        </is>
      </c>
      <c r="B35" s="3" t="inlineStr">
        <is>
          <t>Widget SDK &amp; Hosted Widgets</t>
        </is>
      </c>
      <c r="C35" s="3" t="inlineStr">
        <is>
          <t>@starui/widget-sdk; HostedMarketsGrid; Blotter; FDC3/IAB/color-linking hooks; useHostedIdentity.</t>
        </is>
      </c>
      <c r="D35" s="3" t="inlineStr">
        <is>
          <t>packages/react/sdk/widget-sdk, packages/react/widgets/widgets-react/hosted</t>
        </is>
      </c>
    </row>
    <row r="36" ht="46" customHeight="1">
      <c r="A36" s="2" t="inlineStr">
        <is>
          <t>MG-E35</t>
        </is>
      </c>
      <c r="B36" s="2" t="inlineStr">
        <is>
          <t>shadcn UI Library</t>
        </is>
      </c>
      <c r="C36" s="2" t="inlineStr">
        <is>
          <t>30+ Radix primitives themed via design-system; chart, form, toast, command, calendar, resizable panels.</t>
        </is>
      </c>
      <c r="D36" s="2" t="inlineStr">
        <is>
          <t>packages/react/ui</t>
        </is>
      </c>
    </row>
    <row r="37" ht="46" customHeight="1">
      <c r="A37" s="3" t="inlineStr">
        <is>
          <t>MG-E36</t>
        </is>
      </c>
      <c r="B37" s="3" t="inlineStr">
        <is>
          <t>Angular Infrastructure (parity prerequisites)</t>
        </is>
      </c>
      <c r="C37" s="3" t="inlineStr">
        <is>
          <t>config-service-angular, data-services-angular, host-wrapper-angular, widgets-angular (Dock Configurator + Data Provider Editor), config-browser-angular.</t>
        </is>
      </c>
      <c r="D37" s="3" t="inlineStr">
        <is>
          <t>packages/angular/*</t>
        </is>
      </c>
    </row>
    <row r="38" ht="46" customHeight="1">
      <c r="A38" s="2" t="inlineStr">
        <is>
          <t>MG-E37</t>
        </is>
      </c>
      <c r="B38" s="2" t="inlineStr">
        <is>
          <t>Angular MarketsGrid — Core Widget</t>
        </is>
      </c>
      <c r="C38" s="2" t="inlineStr">
        <is>
          <t>Angular component mirroring &lt;MarketsGrid&gt; public API: AgGridAngular wrapper, lifecycle, imperative ref, caption, save button, toolbar flags, info popover, headerExtras, gridLevelData, strict-mode safety.</t>
        </is>
      </c>
      <c r="D38" s="2" t="inlineStr">
        <is>
          <t>packages/angular/widgets/markets-grid-angular (roadmap)</t>
        </is>
      </c>
    </row>
    <row r="39" ht="46" customHeight="1">
      <c r="A39" s="3" t="inlineStr">
        <is>
          <t>MG-E38</t>
        </is>
      </c>
      <c r="B39" s="3" t="inlineStr">
        <is>
          <t>Angular Module Panels Parity</t>
        </is>
      </c>
      <c r="C39" s="3" t="inlineStr">
        <is>
          <t>Angular component for each of the 9 modules: general-settings, column-customization, column-templates, calculated-columns, column-groups, conditional-styling, saved-filters, toolbar-visibility, grid-state. Reuses vanilla-TS core; PrimeNG UI.</t>
        </is>
      </c>
      <c r="D39" s="3" t="inlineStr">
        <is>
          <t>packages/angular/widgets/markets-grid-angular/modules/*</t>
        </is>
      </c>
    </row>
    <row r="40" ht="46" customHeight="1">
      <c r="A40" s="2" t="inlineStr">
        <is>
          <t>MG-E39</t>
        </is>
      </c>
      <c r="B40" s="2" t="inlineStr">
        <is>
          <t>Reference Apps &amp; Build Infrastructure</t>
        </is>
      </c>
      <c r="C40" s="2" t="inlineStr">
        <is>
          <t>demo-react, markets-ui-react-reference, demo-angular, demo-configservice-react, config-service-server, config-admin-web; Turborepo pipeline; Vitest + Playwright.</t>
        </is>
      </c>
      <c r="D40" s="2" t="inlineStr">
        <is>
          <t>apps/*, turbo.json, tsconfig.base.json</t>
        </is>
      </c>
    </row>
    <row r="41" ht="46" customHeight="1">
      <c r="A41" s="3" t="inlineStr">
        <is>
          <t>MG-E40</t>
        </is>
      </c>
      <c r="B41" s="3" t="inlineStr">
        <is>
          <t>Angular UI Surfaces Parity</t>
        </is>
      </c>
      <c r="C41" s="3" t="inlineStr">
        <is>
          <t>PrimeNG-themed equivalents of every React UI surface: Settings Drawer, Cockpit primitives, StyleEditor, Filter Pills Bar, Formatting Toolbar, ProfileSelector, FormatterPicker, ExpressionEditor (Monaco), cell renderers, FormatPopover stack.</t>
        </is>
      </c>
      <c r="D41" s="3" t="inlineStr">
        <is>
          <t>packages/angular/widgets/markets-grid-angular/ui/*</t>
        </is>
      </c>
    </row>
    <row r="42" ht="46" customHeight="1">
      <c r="A42" s="2" t="inlineStr">
        <is>
          <t>MG-E41</t>
        </is>
      </c>
      <c r="B42" s="2" t="inlineStr">
        <is>
          <t>Angular Integration Parity</t>
        </is>
      </c>
      <c r="C42" s="2" t="inlineStr">
        <is>
          <t>Angular MarketsGridContainer (v2 layer), HostedMarketsGrid + workspace-save, OpenFin popout chrome, admin actions wiring, app-data cell editor binding, streaming-safe filters.</t>
        </is>
      </c>
      <c r="D42" s="2" t="inlineStr">
        <is>
          <t>packages/angular/widgets/* + packages/angular/hosts/*</t>
        </is>
      </c>
    </row>
    <row r="43" ht="46" customHeight="1">
      <c r="A43" s="3" t="inlineStr">
        <is>
          <t>MG-E42</t>
        </is>
      </c>
      <c r="B43" s="3" t="inlineStr">
        <is>
          <t>Cross-Framework Parity Invariants</t>
        </is>
      </c>
      <c r="C43" s="3" t="inlineStr">
        <is>
          <t>No drift: identical AppConfigRow shape, identical data semantics (getRowId/keyColumn/AppData), identical identity tuple, identical user-facing feature set.</t>
        </is>
      </c>
      <c r="D43" s="3" t="inlineStr">
        <is>
          <t>Architecture rule enforced across React + Angular buckets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7"/>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9" customWidth="1" min="3" max="3"/>
    <col width="30" customWidth="1" min="4" max="4"/>
    <col width="42" customWidth="1" min="5" max="5"/>
    <col width="55" customWidth="1" min="6" max="6"/>
    <col width="75" customWidth="1" min="7" max="7"/>
    <col width="9" customWidth="1" min="8" max="8"/>
    <col width="10" customWidth="1" min="9" max="9"/>
    <col width="32" customWidth="1" min="10" max="10"/>
    <col width="13" customWidth="1" min="11" max="11"/>
  </cols>
  <sheetData>
    <row r="1" ht="32" customHeight="1">
      <c r="A1" s="1" t="inlineStr">
        <is>
          <t>Issue Type</t>
        </is>
      </c>
      <c r="B1" s="1" t="inlineStr">
        <is>
          <t>Key</t>
        </is>
      </c>
      <c r="C1" s="1" t="inlineStr">
        <is>
          <t>Epic Link</t>
        </is>
      </c>
      <c r="D1" s="1" t="inlineStr">
        <is>
          <t>Epic Name</t>
        </is>
      </c>
      <c r="E1" s="1" t="inlineStr">
        <is>
          <t>Summary</t>
        </is>
      </c>
      <c r="F1" s="1" t="inlineStr">
        <is>
          <t>Description</t>
        </is>
      </c>
      <c r="G1" s="1" t="inlineStr">
        <is>
          <t>Acceptance Criteria</t>
        </is>
      </c>
      <c r="H1" s="1" t="inlineStr">
        <is>
          <t>Story Points</t>
        </is>
      </c>
      <c r="I1" s="1" t="inlineStr">
        <is>
          <t>Priority</t>
        </is>
      </c>
      <c r="J1" s="1" t="inlineStr">
        <is>
          <t>Component / Package</t>
        </is>
      </c>
      <c r="K1" s="1" t="inlineStr">
        <is>
          <t>Status</t>
        </is>
      </c>
    </row>
    <row r="2" ht="76" customHeight="1">
      <c r="A2" s="2" t="inlineStr">
        <is>
          <t>Story</t>
        </is>
      </c>
      <c r="B2" s="2" t="inlineStr">
        <is>
          <t>MG-1</t>
        </is>
      </c>
      <c r="C2" s="2" t="inlineStr">
        <is>
          <t>MG-E1</t>
        </is>
      </c>
      <c r="D2" s="2" t="inlineStr">
        <is>
          <t>MarketsGrid Public Component &amp; Toolbar Chrome</t>
        </is>
      </c>
      <c r="E2" s="2" t="inlineStr">
        <is>
          <t>&lt;MarketsGrid&gt; component with AG-Grid integration</t>
        </is>
      </c>
      <c r="F2" s="2" t="inlineStr">
        <is>
          <t>Top-level React widget mounting AgGridReact with platform-aware lifecycle. Accepts gridId, rowData, columnDefs, modules, theme; passes display props through.</t>
        </is>
      </c>
      <c r="G2" s="2" t="inlineStr">
        <is>
          <t>1. Component renders AgGridReact with rowData and columnDefs
2. gridId scopes layout storage
3. modules defaults to DEFAULT_MODULES (9 modules)
4. Theme prop accepts AG-Grid theme objects
5. Unmounts cleanly with no listener / DOM leaks</t>
        </is>
      </c>
      <c r="H2" s="2" t="n">
        <v>5</v>
      </c>
      <c r="I2" s="2" t="inlineStr">
        <is>
          <t>High</t>
        </is>
      </c>
      <c r="J2" s="2" t="inlineStr">
        <is>
          <t>packages/react/widgets/markets-grid/src/MarketsGrid.tsx</t>
        </is>
      </c>
      <c r="K2" s="4" t="inlineStr">
        <is>
          <t>Done</t>
        </is>
      </c>
    </row>
    <row r="3" ht="76" customHeight="1">
      <c r="A3" s="3" t="inlineStr">
        <is>
          <t>Story</t>
        </is>
      </c>
      <c r="B3" s="3" t="inlineStr">
        <is>
          <t>MG-2</t>
        </is>
      </c>
      <c r="C3" s="3" t="inlineStr">
        <is>
          <t>MG-E1</t>
        </is>
      </c>
      <c r="D3" s="3" t="inlineStr">
        <is>
          <t>MarketsGrid Public Component &amp; Toolbar Chrome</t>
        </is>
      </c>
      <c r="E3" s="3" t="inlineStr">
        <is>
          <t>MarketsGridHandle imperative ref API</t>
        </is>
      </c>
      <c r="F3" s="3" t="inlineStr">
        <is>
          <t>Imperative handle via forwardRef: gridApi, platform, profiles, saveAll(). Host apps drive saves from outside (workspace-save integration).</t>
        </is>
      </c>
      <c r="G3" s="3" t="inlineStr">
        <is>
          <t>1. ref.current.gridApi returns live AG-Grid GridApi after grid-ready
2. ref.current.platform returns the GridPlatform instance
3. ref.current.profiles returns the layout manager hook result
4. ref.current.saveAll() captures grid state and persists active layout (Promise)
5. onReady callback fires once after grid-ready + platform-mount + layout-applied</t>
        </is>
      </c>
      <c r="H3" s="3" t="n">
        <v>3</v>
      </c>
      <c r="I3" s="3" t="inlineStr">
        <is>
          <t>High</t>
        </is>
      </c>
      <c r="J3" s="3" t="inlineStr">
        <is>
          <t>packages/react/widgets/markets-grid/src/MarketsGrid.tsx</t>
        </is>
      </c>
      <c r="K3" s="4" t="inlineStr">
        <is>
          <t>Done</t>
        </is>
      </c>
    </row>
    <row r="4" ht="76" customHeight="1">
      <c r="A4" s="2" t="inlineStr">
        <is>
          <t>Story</t>
        </is>
      </c>
      <c r="B4" s="2" t="inlineStr">
        <is>
          <t>MG-3</t>
        </is>
      </c>
      <c r="C4" s="2" t="inlineStr">
        <is>
          <t>MG-E1</t>
        </is>
      </c>
      <c r="D4" s="2" t="inlineStr">
        <is>
          <t>MarketsGrid Public Component &amp; Toolbar Chrome</t>
        </is>
      </c>
      <c r="E4" s="2" t="inlineStr">
        <is>
          <t>Editable caption with pencil affordance</t>
        </is>
      </c>
      <c r="F4" s="2" t="inlineStr">
        <is>
          <t>Inline editable caption, visible only when tabsHidden=true; pencil icon reveals input on hover.</t>
        </is>
      </c>
      <c r="G4" s="2" t="inlineStr">
        <is>
          <t>1. tabsHidden=true renders caption above toolbar with hover pencil
2. Click pencil/caption → inline edit input
3. Commit fires onCaptionChange(newCaption)
4. Caption hidden when OpenFin tab strip visible
5. Escapes HTML; uses design-system typography</t>
        </is>
      </c>
      <c r="H4" s="2" t="n">
        <v>2</v>
      </c>
      <c r="I4" s="2" t="inlineStr">
        <is>
          <t>Medium</t>
        </is>
      </c>
      <c r="J4" s="2" t="inlineStr">
        <is>
          <t>packages/react/widgets/markets-grid/src/MarketsGrid.tsx</t>
        </is>
      </c>
      <c r="K4" s="4" t="inlineStr">
        <is>
          <t>Done</t>
        </is>
      </c>
    </row>
    <row r="5" ht="76" customHeight="1">
      <c r="A5" s="3" t="inlineStr">
        <is>
          <t>Story</t>
        </is>
      </c>
      <c r="B5" s="3" t="inlineStr">
        <is>
          <t>MG-4</t>
        </is>
      </c>
      <c r="C5" s="3" t="inlineStr">
        <is>
          <t>MG-E1</t>
        </is>
      </c>
      <c r="D5" s="3" t="inlineStr">
        <is>
          <t>MarketsGrid Public Component &amp; Toolbar Chrome</t>
        </is>
      </c>
      <c r="E5" s="3" t="inlineStr">
        <is>
          <t>Save button with dirty glow + flash checkmark</t>
        </is>
      </c>
      <c r="F5" s="3" t="inlineStr">
        <is>
          <t>Save button glows when isDirty=true; checkmark for 600 ms after successful save.</t>
        </is>
      </c>
      <c r="G5" s="3" t="inlineStr">
        <is>
          <t>1. Visually emphasized when there are unsaved changes
2. Click triggers saveAll() and toggles saving state
3. On success, checkmark replaces icon for 600 ms then reverts
4. onSavingChange(true|false) fires on start and completion
5. Disabled state during in-flight save</t>
        </is>
      </c>
      <c r="H5" s="3" t="n">
        <v>2</v>
      </c>
      <c r="I5" s="3" t="inlineStr">
        <is>
          <t>Medium</t>
        </is>
      </c>
      <c r="J5" s="3" t="inlineStr">
        <is>
          <t>packages/react/widgets/markets-grid/src/MarketsGrid.tsx</t>
        </is>
      </c>
      <c r="K5" s="4" t="inlineStr">
        <is>
          <t>Done</t>
        </is>
      </c>
    </row>
    <row r="6" ht="76" customHeight="1">
      <c r="A6" s="2" t="inlineStr">
        <is>
          <t>Story</t>
        </is>
      </c>
      <c r="B6" s="2" t="inlineStr">
        <is>
          <t>MG-5</t>
        </is>
      </c>
      <c r="C6" s="2" t="inlineStr">
        <is>
          <t>MG-E1</t>
        </is>
      </c>
      <c r="D6" s="2" t="inlineStr">
        <is>
          <t>MarketsGrid Public Component &amp; Toolbar Chrome</t>
        </is>
      </c>
      <c r="E6" s="2" t="inlineStr">
        <is>
          <t>Toolbar visibility flags + adminActions slot</t>
        </is>
      </c>
      <c r="F6" s="2" t="inlineStr">
        <is>
          <t>Independent flags + adminActions=[] for host-plugged icon buttons.</t>
        </is>
      </c>
      <c r="G6" s="2" t="inlineStr">
        <is>
          <t>1. showToolbar/showFiltersToolbar/showFormattingToolbar/showSaveButton/showSettingsButton/showProfileSelector each toggle independently
2. adminActions render as icon buttons; each {id, label, icon?, description?, onClick, visible?}
3. Icon preset catalog: database/file-text/list-checks/activity/bar-chart-3/shield-check/users/terminal/eye/wrench/refresh-cw
4. testid admin-action-{id}
5. Async onClick tolerated</t>
        </is>
      </c>
      <c r="H6" s="2" t="n">
        <v>3</v>
      </c>
      <c r="I6" s="2" t="inlineStr">
        <is>
          <t>Medium</t>
        </is>
      </c>
      <c r="J6" s="2" t="inlineStr">
        <is>
          <t>packages/react/widgets/markets-grid/src/MarketsGrid.tsx</t>
        </is>
      </c>
      <c r="K6" s="4" t="inlineStr">
        <is>
          <t>Done</t>
        </is>
      </c>
    </row>
    <row r="7" ht="76" customHeight="1">
      <c r="A7" s="3" t="inlineStr">
        <is>
          <t>Story</t>
        </is>
      </c>
      <c r="B7" s="3" t="inlineStr">
        <is>
          <t>MG-6</t>
        </is>
      </c>
      <c r="C7" s="3" t="inlineStr">
        <is>
          <t>MG-E1</t>
        </is>
      </c>
      <c r="D7" s="3" t="inlineStr">
        <is>
          <t>MarketsGrid Public Component &amp; Toolbar Chrome</t>
        </is>
      </c>
      <c r="E7" s="3" t="inlineStr">
        <is>
          <t>Info ⓘ popover with technical identifiers</t>
        </is>
      </c>
      <c r="F7" s="3" t="inlineStr">
        <is>
          <t>Popover exposing gridId, instanceId, appId, userId, componentName, componentType, active layout id.</t>
        </is>
      </c>
      <c r="G7" s="3" t="inlineStr">
        <is>
          <t>1. Popover triggered by ⓘ button at toolbar right edge
2. Shows: gridId, instanceId, appId, userId, componentName, registeredIdentity, active layout id + name
3. Per-row copy-to-clipboard
4. Closes on Escape and outside click
5. Designed so support can read off identifiers</t>
        </is>
      </c>
      <c r="H7" s="3" t="n">
        <v>2</v>
      </c>
      <c r="I7" s="3" t="inlineStr">
        <is>
          <t>Medium</t>
        </is>
      </c>
      <c r="J7" s="3" t="inlineStr">
        <is>
          <t>packages/react/widgets/markets-grid/src/MarketsGrid.tsx</t>
        </is>
      </c>
      <c r="K7" s="4" t="inlineStr">
        <is>
          <t>Done</t>
        </is>
      </c>
    </row>
    <row r="8" ht="62" customHeight="1">
      <c r="A8" s="2" t="inlineStr">
        <is>
          <t>Story</t>
        </is>
      </c>
      <c r="B8" s="2" t="inlineStr">
        <is>
          <t>MG-7</t>
        </is>
      </c>
      <c r="C8" s="2" t="inlineStr">
        <is>
          <t>MG-E1</t>
        </is>
      </c>
      <c r="D8" s="2" t="inlineStr">
        <is>
          <t>MarketsGrid Public Component &amp; Toolbar Chrome</t>
        </is>
      </c>
      <c r="E8" s="2" t="inlineStr">
        <is>
          <t>headerExtras slot with Alt+Shift+P reveal</t>
        </is>
      </c>
      <c r="F8" s="2" t="inlineStr">
        <is>
          <t>ReactNode slot above filters toolbar. Hidden by default; Alt+Shift+P toggles (chosen because Ctrl+Shift+P clashes with browser incognito).</t>
        </is>
      </c>
      <c r="G8" s="2" t="inlineStr">
        <is>
          <t>1. headerExtras content renders above filters toolbar when revealed
2. Alt+Shift+P toggles visibility
3. Slot consumes no vertical space when hidden or unset
4. Visibility state per-session (not persisted)</t>
        </is>
      </c>
      <c r="H8" s="2" t="n">
        <v>2</v>
      </c>
      <c r="I8" s="2" t="inlineStr">
        <is>
          <t>Medium</t>
        </is>
      </c>
      <c r="J8" s="2" t="inlineStr">
        <is>
          <t>packages/react/widgets/markets-grid/src/MarketsGrid.tsx</t>
        </is>
      </c>
      <c r="K8" s="4" t="inlineStr">
        <is>
          <t>Done</t>
        </is>
      </c>
    </row>
    <row r="9" ht="76" customHeight="1">
      <c r="A9" s="3" t="inlineStr">
        <is>
          <t>Story</t>
        </is>
      </c>
      <c r="B9" s="3" t="inlineStr">
        <is>
          <t>MG-8</t>
        </is>
      </c>
      <c r="C9" s="3" t="inlineStr">
        <is>
          <t>MG-E1</t>
        </is>
      </c>
      <c r="D9" s="3" t="inlineStr">
        <is>
          <t>MarketsGrid Public Component &amp; Toolbar Chrome</t>
        </is>
      </c>
      <c r="E9" s="3" t="inlineStr">
        <is>
          <t>Grid-level opaque data slot</t>
        </is>
      </c>
      <c r="F9" s="3" t="inlineStr">
        <is>
          <t>gridLevelData prop + onGridLevelDataLoad callback for state surviving layout switches.</t>
        </is>
      </c>
      <c r="G9" s="3" t="inlineStr">
        <is>
          <t>1. gridLevelData persisted via storage saveGridLevelData
2. onGridLevelDataLoad fires once after storage load
3. Slot opaque (Record&lt;string, unknown&gt;)
4. Survives layout switches (lives in bundle top-level)
5. Adapters without grid-level support no-op gracefully</t>
        </is>
      </c>
      <c r="H9" s="3" t="n">
        <v>3</v>
      </c>
      <c r="I9" s="3" t="inlineStr">
        <is>
          <t>High</t>
        </is>
      </c>
      <c r="J9" s="3" t="inlineStr">
        <is>
          <t>packages/react/widgets/markets-grid/src/MarketsGrid.tsx</t>
        </is>
      </c>
      <c r="K9" s="4" t="inlineStr">
        <is>
          <t>Done</t>
        </is>
      </c>
    </row>
    <row r="10" ht="76" customHeight="1">
      <c r="A10" s="2" t="inlineStr">
        <is>
          <t>Story</t>
        </is>
      </c>
      <c r="B10" s="2" t="inlineStr">
        <is>
          <t>MG-9</t>
        </is>
      </c>
      <c r="C10" s="2" t="inlineStr">
        <is>
          <t>MG-E1</t>
        </is>
      </c>
      <c r="D10" s="2" t="inlineStr">
        <is>
          <t>MarketsGrid Public Component &amp; Toolbar Chrome</t>
        </is>
      </c>
      <c r="E10" s="2" t="inlineStr">
        <is>
          <t>MemoryAdapter dev-mode warning + before-unload prompt</t>
        </is>
      </c>
      <c r="F10" s="2" t="inlineStr">
        <is>
          <t>Console.warn once when MemoryAdapter auto-selected in dev. window beforeunload listener while isDirty=true.</t>
        </is>
      </c>
      <c r="G10" s="2" t="inlineStr">
        <is>
          <t>1. Console.warn emitted exactly once per grid in dev when no storage supplied
2. Warning names gridId + recommends real adapter
3. Production build suppresses warning
4. beforeunload listener attached/detached based on isDirty
5. Works in browser and OpenFin views</t>
        </is>
      </c>
      <c r="H10" s="2" t="n">
        <v>2</v>
      </c>
      <c r="I10" s="2" t="inlineStr">
        <is>
          <t>Medium</t>
        </is>
      </c>
      <c r="J10" s="2" t="inlineStr">
        <is>
          <t>packages/react/widgets/markets-grid/src/MarketsGrid.tsx</t>
        </is>
      </c>
      <c r="K10" s="4" t="inlineStr">
        <is>
          <t>Done</t>
        </is>
      </c>
    </row>
    <row r="11" ht="62" customHeight="1">
      <c r="A11" s="3" t="inlineStr">
        <is>
          <t>Story</t>
        </is>
      </c>
      <c r="B11" s="3" t="inlineStr">
        <is>
          <t>MG-10</t>
        </is>
      </c>
      <c r="C11" s="3" t="inlineStr">
        <is>
          <t>MG-E1</t>
        </is>
      </c>
      <c r="D11" s="3" t="inlineStr">
        <is>
          <t>MarketsGrid Public Component &amp; Toolbar Chrome</t>
        </is>
      </c>
      <c r="E11" s="3" t="inlineStr">
        <is>
          <t>Strict-mode safe lifecycle</t>
        </is>
      </c>
      <c r="F11" s="3" t="inlineStr">
        <is>
          <t>Component remounts cleanly under React StrictMode (double-mount semantics).</t>
        </is>
      </c>
      <c r="G11" s="3" t="inlineStr">
        <is>
          <t>1. StrictMode double-mount produces single platform + single grid
2. EventBus listener count identical after mount/unmount/mount
3. ResourceScope released on unmount even under StrictMode
4. Save flash, popouts, timers cleaned up between strict-mode passes</t>
        </is>
      </c>
      <c r="H11" s="3" t="n">
        <v>3</v>
      </c>
      <c r="I11" s="3" t="inlineStr">
        <is>
          <t>Medium</t>
        </is>
      </c>
      <c r="J11" s="3" t="inlineStr">
        <is>
          <t>packages/react/widgets/markets-grid/src/MarketsGrid.tsx</t>
        </is>
      </c>
      <c r="K11" s="4" t="inlineStr">
        <is>
          <t>Done</t>
        </is>
      </c>
    </row>
    <row r="12" ht="76" customHeight="1">
      <c r="A12" s="2" t="inlineStr">
        <is>
          <t>Story</t>
        </is>
      </c>
      <c r="B12" s="2" t="inlineStr">
        <is>
          <t>MG-11</t>
        </is>
      </c>
      <c r="C12" s="2" t="inlineStr">
        <is>
          <t>MG-E2</t>
        </is>
      </c>
      <c r="D12" s="2" t="inlineStr">
        <is>
          <t>AG-Grid Enterprise Integration</t>
        </is>
      </c>
      <c r="E12" s="2" t="inlineStr">
        <is>
          <t>AG-Grid Enterprise v33+ baseline integration</t>
        </is>
      </c>
      <c r="F12" s="2" t="inlineStr">
        <is>
          <t>Wrap AgGridReact with all Enterprise modules registered.</t>
        </is>
      </c>
      <c r="G12" s="2" t="inlineStr">
        <is>
          <t>1. ModuleRegistry.registerModules called once at app boot
2. License key configurable per host app
3. Sorting, filtering, grouping, pivoting, pagination operational out of box
4. Side bar + status bar render and respect grid options
5. Excel export + clipboard work in default config</t>
        </is>
      </c>
      <c r="H12" s="2" t="n">
        <v>5</v>
      </c>
      <c r="I12" s="2" t="inlineStr">
        <is>
          <t>High</t>
        </is>
      </c>
      <c r="J12" s="2" t="inlineStr">
        <is>
          <t>packages/react/widgets/markets-grid (AgGridReact wrapper)</t>
        </is>
      </c>
      <c r="K12" s="4" t="inlineStr">
        <is>
          <t>Done</t>
        </is>
      </c>
    </row>
    <row r="13" ht="76" customHeight="1">
      <c r="A13" s="3" t="inlineStr">
        <is>
          <t>Story</t>
        </is>
      </c>
      <c r="B13" s="3" t="inlineStr">
        <is>
          <t>MG-12</t>
        </is>
      </c>
      <c r="C13" s="3" t="inlineStr">
        <is>
          <t>MG-E2</t>
        </is>
      </c>
      <c r="D13" s="3" t="inlineStr">
        <is>
          <t>AG-Grid Enterprise Integration</t>
        </is>
      </c>
      <c r="E13" s="3" t="inlineStr">
        <is>
          <t>Frozen rows + columns + virtual scrolling</t>
        </is>
      </c>
      <c r="F13" s="3" t="inlineStr">
        <is>
          <t>Pinned-top/bottom rows + pinned-left/right columns through column-customization and general-settings.</t>
        </is>
      </c>
      <c r="G13" s="3" t="inlineStr">
        <is>
          <t>1. Per-column initialPinned (left/right/undefined) honored
2. pinnedTopRowData / pinnedBottomRowData props
3. 50k+ rows scroll smoothly
4. Horizontal virtual scroll under split-pinned layout
5. Pinned columns survive layout save/load</t>
        </is>
      </c>
      <c r="H13" s="3" t="n">
        <v>3</v>
      </c>
      <c r="I13" s="3" t="inlineStr">
        <is>
          <t>High</t>
        </is>
      </c>
      <c r="J13" s="3" t="inlineStr">
        <is>
          <t>packages/react/widgets/markets-grid (AgGridReact wrapper)</t>
        </is>
      </c>
      <c r="K13" s="4" t="inlineStr">
        <is>
          <t>Done</t>
        </is>
      </c>
    </row>
    <row r="14" ht="76" customHeight="1">
      <c r="A14" s="2" t="inlineStr">
        <is>
          <t>Story</t>
        </is>
      </c>
      <c r="B14" s="2" t="inlineStr">
        <is>
          <t>MG-13</t>
        </is>
      </c>
      <c r="C14" s="2" t="inlineStr">
        <is>
          <t>MG-E2</t>
        </is>
      </c>
      <c r="D14" s="2" t="inlineStr">
        <is>
          <t>AG-Grid Enterprise Integration</t>
        </is>
      </c>
      <c r="E14" s="2" t="inlineStr">
        <is>
          <t>Copy/paste + Excel export wiring</t>
        </is>
      </c>
      <c r="F14" s="2" t="inlineStr">
        <is>
          <t>copyHeadersToClipboard, clipboardDelimiter, processCellForClipboard pipeline; Excel export with header style.</t>
        </is>
      </c>
      <c r="G14" s="2" t="inlineStr">
        <is>
          <t>1. Ctrl/Cmd+C copies selected range
2. Ctrl/Cmd+V pastes when editable
3. Excel export menu produces .xlsx with column styling preserved
4. clipboardDelimiter (tab/comma/pipe/custom) via general-settings
5. copyHeadersToClipboard configurable</t>
        </is>
      </c>
      <c r="H14" s="2" t="n">
        <v>3</v>
      </c>
      <c r="I14" s="2" t="inlineStr">
        <is>
          <t>Medium</t>
        </is>
      </c>
      <c r="J14" s="2" t="inlineStr">
        <is>
          <t>packages/react/widgets/markets-grid (AgGridReact wrapper)</t>
        </is>
      </c>
      <c r="K14" s="4" t="inlineStr">
        <is>
          <t>Done</t>
        </is>
      </c>
    </row>
    <row r="15" ht="76" customHeight="1">
      <c r="A15" s="3" t="inlineStr">
        <is>
          <t>Story</t>
        </is>
      </c>
      <c r="B15" s="3" t="inlineStr">
        <is>
          <t>MG-14</t>
        </is>
      </c>
      <c r="C15" s="3" t="inlineStr">
        <is>
          <t>MG-E3</t>
        </is>
      </c>
      <c r="D15" s="3" t="inlineStr">
        <is>
          <t>Streaming Data Performance</t>
        </is>
      </c>
      <c r="E15" s="3" t="inlineStr">
        <is>
          <t>AG-Grid async transaction queue with 100ms batching</t>
        </is>
      </c>
      <c r="F15" s="3" t="inlineStr">
        <is>
          <t>Live updates from data-services SharedWorker batched into applyTransactionAsync; coalesced to 100 ms windows.</t>
        </is>
      </c>
      <c r="G15" s="3" t="inlineStr">
        <is>
          <t>1. Updates from worker arrive at higher rate than 10Hz
2. Container coalesces into windows of 100 ms
3. Single applyTransactionAsync per window with merged adds/updates/removes
4. Frame-rate ≥30 FPS under 30 Hz tick load
5. Tunable batch window via prop (default 100 ms)</t>
        </is>
      </c>
      <c r="H15" s="3" t="n">
        <v>5</v>
      </c>
      <c r="I15" s="3" t="inlineStr">
        <is>
          <t>High</t>
        </is>
      </c>
      <c r="J15" s="3" t="inlineStr">
        <is>
          <t>packages/react/widgets/markets-grid + grid-react/src/modules</t>
        </is>
      </c>
      <c r="K15" s="4" t="inlineStr">
        <is>
          <t>Done</t>
        </is>
      </c>
    </row>
    <row r="16" ht="76" customHeight="1">
      <c r="A16" s="2" t="inlineStr">
        <is>
          <t>Story</t>
        </is>
      </c>
      <c r="B16" s="2" t="inlineStr">
        <is>
          <t>MG-15</t>
        </is>
      </c>
      <c r="C16" s="2" t="inlineStr">
        <is>
          <t>MG-E3</t>
        </is>
      </c>
      <c r="D16" s="2" t="inlineStr">
        <is>
          <t>Streaming Data Performance</t>
        </is>
      </c>
      <c r="E16" s="2" t="inlineStr">
        <is>
          <t>Focus-stable filter inputs during ticks</t>
        </is>
      </c>
      <c r="F16" s="2" t="inlineStr">
        <is>
          <t>Floating-filter and quick-filter inputs retain focus + caret position when row data batches through.</t>
        </is>
      </c>
      <c r="G16" s="2" t="inlineStr">
        <is>
          <t>1. Typing in floating-filter doesn't lose focus when transactions land
2. Caret position preserved across batch applies
3. streamSafeFloatingFilter / streamSafeNumberFloatingFilter wrappers used
4. setGridOption('rowData') NOT called during ticks
5. Tested at 30 Hz with continuous typing</t>
        </is>
      </c>
      <c r="H16" s="2" t="n">
        <v>5</v>
      </c>
      <c r="I16" s="2" t="inlineStr">
        <is>
          <t>High</t>
        </is>
      </c>
      <c r="J16" s="2" t="inlineStr">
        <is>
          <t>packages/react/widgets/markets-grid + grid-react/src/modules</t>
        </is>
      </c>
      <c r="K16" s="4" t="inlineStr">
        <is>
          <t>Done</t>
        </is>
      </c>
    </row>
    <row r="17" ht="76" customHeight="1">
      <c r="A17" s="3" t="inlineStr">
        <is>
          <t>Story</t>
        </is>
      </c>
      <c r="B17" s="3" t="inlineStr">
        <is>
          <t>MG-16</t>
        </is>
      </c>
      <c r="C17" s="3" t="inlineStr">
        <is>
          <t>MG-E3</t>
        </is>
      </c>
      <c r="D17" s="3" t="inlineStr">
        <is>
          <t>Streaming Data Performance</t>
        </is>
      </c>
      <c r="E17" s="3" t="inlineStr">
        <is>
          <t>Surgical repaints for conditional styling under ticks</t>
        </is>
      </c>
      <c r="F17" s="3" t="inlineStr">
        <is>
          <t>Only changed-value cells re-evaluate rules; row-scope rules re-evaluate only when row data changes.</t>
        </is>
      </c>
      <c r="G17" s="3" t="inlineStr">
        <is>
          <t>1. cellClassRules evaluated on real value-change events
2. CSS keyframe flashes don't retrigger on identical-value updates
3. Header pulse DOM watcher debounced (modelUpdated + filterChanged + cellValueChanged only)
4. Indicators repaint only on rule-state change
5. CPU stable under sustained tick load</t>
        </is>
      </c>
      <c r="H17" s="3" t="n">
        <v>5</v>
      </c>
      <c r="I17" s="3" t="inlineStr">
        <is>
          <t>High</t>
        </is>
      </c>
      <c r="J17" s="3" t="inlineStr">
        <is>
          <t>packages/react/widgets/markets-grid + grid-react/src/modules</t>
        </is>
      </c>
      <c r="K17" s="4" t="inlineStr">
        <is>
          <t>Done</t>
        </is>
      </c>
    </row>
    <row r="18" ht="76" customHeight="1">
      <c r="A18" s="2" t="inlineStr">
        <is>
          <t>Story</t>
        </is>
      </c>
      <c r="B18" s="2" t="inlineStr">
        <is>
          <t>MG-17</t>
        </is>
      </c>
      <c r="C18" s="2" t="inlineStr">
        <is>
          <t>MG-E3</t>
        </is>
      </c>
      <c r="D18" s="2" t="inlineStr">
        <is>
          <t>Streaming Data Performance</t>
        </is>
      </c>
      <c r="E18" s="2" t="inlineStr">
        <is>
          <t>getRowId composition matching keyColumn</t>
        </is>
      </c>
      <c r="F18" s="2" t="inlineStr">
        <is>
          <t>Row id derivation in MarketsGrid + container uses same composition rule as data-services worker cache.</t>
        </is>
      </c>
      <c r="G18" s="2" t="inlineStr">
        <is>
          <t>1. rowIdField prop accepts string | string[]
2. transformGridOptions injects default getRowId when rowIdField provided
3. Worker cache and grid use identical id composition (verified by test)
4. Composite keys joined with stable separator
5. Mismatched id between worker and grid → console error in dev</t>
        </is>
      </c>
      <c r="H18" s="2" t="n">
        <v>3</v>
      </c>
      <c r="I18" s="2" t="inlineStr">
        <is>
          <t>High</t>
        </is>
      </c>
      <c r="J18" s="2" t="inlineStr">
        <is>
          <t>packages/react/widgets/markets-grid + grid-react/src/modules</t>
        </is>
      </c>
      <c r="K18" s="4" t="inlineStr">
        <is>
          <t>Done</t>
        </is>
      </c>
    </row>
    <row r="19" ht="76" customHeight="1">
      <c r="A19" s="3" t="inlineStr">
        <is>
          <t>Story</t>
        </is>
      </c>
      <c r="B19" s="3" t="inlineStr">
        <is>
          <t>MG-18</t>
        </is>
      </c>
      <c r="C19" s="3" t="inlineStr">
        <is>
          <t>MG-E4</t>
        </is>
      </c>
      <c r="D19" s="3" t="inlineStr">
        <is>
          <t>Grid Platform &amp; Module System (Core)</t>
        </is>
      </c>
      <c r="E19" s="3" t="inlineStr">
        <is>
          <t>GridPlatform orchestrator with EventBus + ApiHub</t>
        </is>
      </c>
      <c r="F19" s="3" t="inlineStr">
        <is>
          <t>Per-grid platform; typed EventBus; ApiHub wrapping GridApi with whenReady gating.</t>
        </is>
      </c>
      <c r="G19" s="3" t="inlineStr">
        <is>
          <t>1. new GridPlatform({gridId, modules, rowIdField?, appData?}) constructs without GridApi
2. onGridReady(api) activates modules in topo-sorted priority order exactly once
3. 'grid:ready' event fires on EventBus after activation
4. ApiHub.whenReady() resolves only after onGridReady
5. destroy() runs each module's disposer and clears all resources</t>
        </is>
      </c>
      <c r="H19" s="3" t="n">
        <v>8</v>
      </c>
      <c r="I19" s="3" t="inlineStr">
        <is>
          <t>High</t>
        </is>
      </c>
      <c r="J19" s="3" t="inlineStr">
        <is>
          <t>packages/shared/core/src/platform/*</t>
        </is>
      </c>
      <c r="K19" s="4" t="inlineStr">
        <is>
          <t>Done</t>
        </is>
      </c>
    </row>
    <row r="20" ht="76" customHeight="1">
      <c r="A20" s="2" t="inlineStr">
        <is>
          <t>Story</t>
        </is>
      </c>
      <c r="B20" s="2" t="inlineStr">
        <is>
          <t>MG-19</t>
        </is>
      </c>
      <c r="C20" s="2" t="inlineStr">
        <is>
          <t>MG-E4</t>
        </is>
      </c>
      <c r="D20" s="2" t="inlineStr">
        <is>
          <t>Grid Platform &amp; Module System (Core)</t>
        </is>
      </c>
      <c r="E20" s="2" t="inlineStr">
        <is>
          <t>PipelineRunner with cached transforms</t>
        </is>
      </c>
      <c r="F20" s="2" t="inlineStr">
        <is>
          <t>Cached transformColumnDefs / transformGridOptions; invalidates only on contributing module state change.</t>
        </is>
      </c>
      <c r="G20" s="2" t="inlineStr">
        <is>
          <t>1. transformColumnDefs runs each module's transform in priority order
2. Output cached and re-used on identical input
3. Cache invalidates when contributing module state changes
4. transformGridOptions injects default getRowId when rowIdField configured
5. Per-module memoization keys stable across renders</t>
        </is>
      </c>
      <c r="H20" s="2" t="n">
        <v>3</v>
      </c>
      <c r="I20" s="2" t="inlineStr">
        <is>
          <t>High</t>
        </is>
      </c>
      <c r="J20" s="2" t="inlineStr">
        <is>
          <t>packages/shared/core/src/platform/*</t>
        </is>
      </c>
      <c r="K20" s="4" t="inlineStr">
        <is>
          <t>Done</t>
        </is>
      </c>
    </row>
    <row r="21" ht="76" customHeight="1">
      <c r="A21" s="3" t="inlineStr">
        <is>
          <t>Story</t>
        </is>
      </c>
      <c r="B21" s="3" t="inlineStr">
        <is>
          <t>MG-20</t>
        </is>
      </c>
      <c r="C21" s="3" t="inlineStr">
        <is>
          <t>MG-E4</t>
        </is>
      </c>
      <c r="D21" s="3" t="inlineStr">
        <is>
          <t>Grid Platform &amp; Module System (Core)</t>
        </is>
      </c>
      <c r="E21" s="3" t="inlineStr">
        <is>
          <t>ResourceScope with CssInjector + WeakMap caches</t>
        </is>
      </c>
      <c r="F21" s="3" t="inlineStr">
        <is>
          <t>Per-platform scope for injected stylesheets, ExpressionEngine, WeakMap caches keyed by GridApi.</t>
        </is>
      </c>
      <c r="G21" s="3" t="inlineStr">
        <is>
          <t>1. CssInjector adds/removes &lt;style&gt; tags by stable id
2. Each platform has own scope (no cross-grid leakage)
3. WeakMap caches don't retain after GridApi destruction
4. ResourceScope.dispose() removes injected CSS and clears caches
5. Safe across StrictMode double-mount</t>
        </is>
      </c>
      <c r="H21" s="3" t="n">
        <v>3</v>
      </c>
      <c r="I21" s="3" t="inlineStr">
        <is>
          <t>High</t>
        </is>
      </c>
      <c r="J21" s="3" t="inlineStr">
        <is>
          <t>packages/shared/core/src/platform/*</t>
        </is>
      </c>
      <c r="K21" s="4" t="inlineStr">
        <is>
          <t>Done</t>
        </is>
      </c>
    </row>
    <row r="22" ht="76" customHeight="1">
      <c r="A22" s="2" t="inlineStr">
        <is>
          <t>Story</t>
        </is>
      </c>
      <c r="B22" s="2" t="inlineStr">
        <is>
          <t>MG-21</t>
        </is>
      </c>
      <c r="C22" s="2" t="inlineStr">
        <is>
          <t>MG-E4</t>
        </is>
      </c>
      <c r="D22" s="2" t="inlineStr">
        <is>
          <t>Grid Platform &amp; Module System (Core)</t>
        </is>
      </c>
      <c r="E22" s="2" t="inlineStr">
        <is>
          <t>Module contract + topoSortModules</t>
        </is>
      </c>
      <c r="F22" s="2" t="inlineStr">
        <is>
          <t>Module shape + topo-sort by priority; cross-module reads only via ctx.getModuleState&lt;T&gt;().</t>
        </is>
      </c>
      <c r="G22" s="2" t="inlineStr">
        <is>
          <t>1. topoSortModules sorts ascending by numeric priority
2. Ties broken by registration order
3. Default priorities (0/5/10/15/18/20/200/1000/1001) stable
4. Duplicate ids throw at construction
5. Modules never import each other</t>
        </is>
      </c>
      <c r="H22" s="2" t="n">
        <v>3</v>
      </c>
      <c r="I22" s="2" t="inlineStr">
        <is>
          <t>High</t>
        </is>
      </c>
      <c r="J22" s="2" t="inlineStr">
        <is>
          <t>packages/shared/core/src/platform/*</t>
        </is>
      </c>
      <c r="K22" s="4" t="inlineStr">
        <is>
          <t>Done</t>
        </is>
      </c>
    </row>
    <row r="23" ht="76" customHeight="1">
      <c r="A23" s="3" t="inlineStr">
        <is>
          <t>Story</t>
        </is>
      </c>
      <c r="B23" s="3" t="inlineStr">
        <is>
          <t>MG-22</t>
        </is>
      </c>
      <c r="C23" s="3" t="inlineStr">
        <is>
          <t>MG-E4</t>
        </is>
      </c>
      <c r="D23" s="3" t="inlineStr">
        <is>
          <t>Grid Platform &amp; Module System (Core)</t>
        </is>
      </c>
      <c r="E23" s="3" t="inlineStr">
        <is>
          <t>DirtyBus per-module change tracking</t>
        </is>
      </c>
      <c r="F23" s="3" t="inlineStr">
        <is>
          <t>Track each module's dirty state via state diff vs persisted snapshot; useDirty/useDirtyCount hooks.</t>
        </is>
      </c>
      <c r="G23" s="3" t="inlineStr">
        <is>
          <t>1. setState that doesn't equal persisted snapshot marks module dirty
2. useDirty(moduleId) returns boolean; useDirtyCount() returns total
3. Saving clears all module dirty flags
4. No leaks (verified under StrictMode)
5. Drives Save button glow and SettingsSheet header count</t>
        </is>
      </c>
      <c r="H23" s="3" t="n">
        <v>3</v>
      </c>
      <c r="I23" s="3" t="inlineStr">
        <is>
          <t>High</t>
        </is>
      </c>
      <c r="J23" s="3" t="inlineStr">
        <is>
          <t>packages/shared/core/src/platform/*</t>
        </is>
      </c>
      <c r="K23" s="4" t="inlineStr">
        <is>
          <t>Done</t>
        </is>
      </c>
    </row>
    <row r="24" ht="76" customHeight="1">
      <c r="A24" s="2" t="inlineStr">
        <is>
          <t>Story</t>
        </is>
      </c>
      <c r="B24" s="2" t="inlineStr">
        <is>
          <t>MG-23</t>
        </is>
      </c>
      <c r="C24" s="2" t="inlineStr">
        <is>
          <t>MG-E4</t>
        </is>
      </c>
      <c r="D24" s="2" t="inlineStr">
        <is>
          <t>Grid Platform &amp; Module System (Core)</t>
        </is>
      </c>
      <c r="E24" s="2" t="inlineStr">
        <is>
          <t>serializeAll / deserializeAll envelope + migration</t>
        </is>
      </c>
      <c r="F24" s="2" t="inlineStr">
        <is>
          <t>{ v: schemaVersion, data: ... } envelope; deserialize routes through migrate(raw, fromVersion).</t>
        </is>
      </c>
      <c r="G24" s="2" t="inlineStr">
        <is>
          <t>1. serializeAll() returns Record&lt;moduleId, {v, data}&gt;
2. deserializeAll(snapshot) calls migrate(raw, fromVersion) when v mismatches
3. Modules with no migrate() fall back to getInitial()
4. Unknown module ids preserved on round-trip
5. Lossless re-serialization on no-op edits</t>
        </is>
      </c>
      <c r="H24" s="2" t="n">
        <v>3</v>
      </c>
      <c r="I24" s="2" t="inlineStr">
        <is>
          <t>High</t>
        </is>
      </c>
      <c r="J24" s="2" t="inlineStr">
        <is>
          <t>packages/shared/core/src/platform/*</t>
        </is>
      </c>
      <c r="K24" s="4" t="inlineStr">
        <is>
          <t>Done</t>
        </is>
      </c>
    </row>
    <row r="25" ht="76" customHeight="1">
      <c r="A25" s="3" t="inlineStr">
        <is>
          <t>Story</t>
        </is>
      </c>
      <c r="B25" s="3" t="inlineStr">
        <is>
          <t>MG-24</t>
        </is>
      </c>
      <c r="C25" s="3" t="inlineStr">
        <is>
          <t>MG-E5</t>
        </is>
      </c>
      <c r="D25" s="3" t="inlineStr">
        <is>
          <t>Layout / Profile Management</t>
        </is>
      </c>
      <c r="E25" s="3" t="inlineStr">
        <is>
          <t>ProfileManager CRUD + active-id resolution</t>
        </is>
      </c>
      <c r="F25" s="3" t="inlineStr">
        <is>
          <t>Resolve active id (ActiveIdSource → localStorage → Default); save/discard/load/create/remove/rename/clone.</t>
        </is>
      </c>
      <c r="G25" s="3" t="inlineStr">
        <is>
          <t>1. boot() resolves activeId
2. create(name, {id?}) generates stable id
3. remove(id) refuses Default profile
4. rename(id, name) updates only name
5. discard() reloads from disk and clears dirty</t>
        </is>
      </c>
      <c r="H25" s="3" t="n">
        <v>8</v>
      </c>
      <c r="I25" s="3" t="inlineStr">
        <is>
          <t>High</t>
        </is>
      </c>
      <c r="J25" s="3" t="inlineStr">
        <is>
          <t>packages/shared/core/src/profiles, ProfileSelector.tsx</t>
        </is>
      </c>
      <c r="K25" s="4" t="inlineStr">
        <is>
          <t>Done</t>
        </is>
      </c>
    </row>
    <row r="26" ht="76" customHeight="1">
      <c r="A26" s="2" t="inlineStr">
        <is>
          <t>Story</t>
        </is>
      </c>
      <c r="B26" s="2" t="inlineStr">
        <is>
          <t>MG-25</t>
        </is>
      </c>
      <c r="C26" s="2" t="inlineStr">
        <is>
          <t>MG-E5</t>
        </is>
      </c>
      <c r="D26" s="2" t="inlineStr">
        <is>
          <t>Layout / Profile Management</t>
        </is>
      </c>
      <c r="E26" s="2" t="inlineStr">
        <is>
          <t>Clone with auto-suffix '(copy)', '(copy 2)'</t>
        </is>
      </c>
      <c r="F26" s="2" t="inlineStr">
        <is>
          <t>Clone finds next free '(copy N)' suffix on source name.</t>
        </is>
      </c>
      <c r="G26" s="2" t="inlineStr">
        <is>
          <t>1. clone(sourceId, name?) duplicates state with fresh id
2. Default name = source.name + ' (copy)'; bumps to ' (copy 2)' on collision
3. createdAt/updatedAt set to clone time
4. Immediately appears in selector
5. Module state deep-cloned (no shared refs)</t>
        </is>
      </c>
      <c r="H26" s="2" t="n">
        <v>3</v>
      </c>
      <c r="I26" s="2" t="inlineStr">
        <is>
          <t>Medium</t>
        </is>
      </c>
      <c r="J26" s="2" t="inlineStr">
        <is>
          <t>packages/shared/core/src/profiles, ProfileSelector.tsx</t>
        </is>
      </c>
      <c r="K26" s="4" t="inlineStr">
        <is>
          <t>Done</t>
        </is>
      </c>
    </row>
    <row r="27" ht="76" customHeight="1">
      <c r="A27" s="3" t="inlineStr">
        <is>
          <t>Story</t>
        </is>
      </c>
      <c r="B27" s="3" t="inlineStr">
        <is>
          <t>MG-26</t>
        </is>
      </c>
      <c r="C27" s="3" t="inlineStr">
        <is>
          <t>MG-E5</t>
        </is>
      </c>
      <c r="D27" s="3" t="inlineStr">
        <is>
          <t>Layout / Profile Management</t>
        </is>
      </c>
      <c r="E27" s="3" t="inlineStr">
        <is>
          <t>Save &amp; switch / Discard / Cancel dialog</t>
        </is>
      </c>
      <c r="F27" s="3" t="inlineStr">
        <is>
          <t>Three-action AlertDialog on dirty profile switch.</t>
        </is>
      </c>
      <c r="G27" s="3" t="inlineStr">
        <is>
          <t>1. Dirty switch opens AlertDialog
2. Save &amp; switch: flush save then switch
3. Discard: reload from disk then switch
4. Cancel: keep current layout active
5. Clean switches happen with no prompt</t>
        </is>
      </c>
      <c r="H27" s="3" t="n">
        <v>3</v>
      </c>
      <c r="I27" s="3" t="inlineStr">
        <is>
          <t>High</t>
        </is>
      </c>
      <c r="J27" s="3" t="inlineStr">
        <is>
          <t>packages/shared/core/src/profiles, ProfileSelector.tsx</t>
        </is>
      </c>
      <c r="K27" s="4" t="inlineStr">
        <is>
          <t>Done</t>
        </is>
      </c>
    </row>
    <row r="28" ht="76" customHeight="1">
      <c r="A28" s="2" t="inlineStr">
        <is>
          <t>Story</t>
        </is>
      </c>
      <c r="B28" s="2" t="inlineStr">
        <is>
          <t>MG-27</t>
        </is>
      </c>
      <c r="C28" s="2" t="inlineStr">
        <is>
          <t>MG-E5</t>
        </is>
      </c>
      <c r="D28" s="2" t="inlineStr">
        <is>
          <t>Layout / Profile Management</t>
        </is>
      </c>
      <c r="E28" s="2" t="inlineStr">
        <is>
          <t>Export / Import JSON payload</t>
        </is>
      </c>
      <c r="F28" s="2" t="inlineStr">
        <is>
          <t>export(id?) → ExportedProfilePayload; import with optional name/activate/sanitize.</t>
        </is>
      </c>
      <c r="G28" s="2" t="inlineStr">
        <is>
          <t>1. export() returns {profile, state} JSON-serializable
2. import creates fresh-id layout
3. sanitize:true rewrites expression formatter templates to safe presets
4. Imported gets new id; timestamps = now
5. Per-row + footer Export-active + Import in ProfileSelector</t>
        </is>
      </c>
      <c r="H28" s="2" t="n">
        <v>5</v>
      </c>
      <c r="I28" s="2" t="inlineStr">
        <is>
          <t>High</t>
        </is>
      </c>
      <c r="J28" s="2" t="inlineStr">
        <is>
          <t>packages/shared/core/src/profiles, ProfileSelector.tsx</t>
        </is>
      </c>
      <c r="K28" s="4" t="inlineStr">
        <is>
          <t>Done</t>
        </is>
      </c>
    </row>
    <row r="29" ht="76" customHeight="1">
      <c r="A29" s="3" t="inlineStr">
        <is>
          <t>Story</t>
        </is>
      </c>
      <c r="B29" s="3" t="inlineStr">
        <is>
          <t>MG-28</t>
        </is>
      </c>
      <c r="C29" s="3" t="inlineStr">
        <is>
          <t>MG-E5</t>
        </is>
      </c>
      <c r="D29" s="3" t="inlineStr">
        <is>
          <t>Layout / Profile Management</t>
        </is>
      </c>
      <c r="E29" s="3" t="inlineStr">
        <is>
          <t>Auto-save (opt-in, off by default)</t>
        </is>
      </c>
      <c r="F29" s="3" t="inlineStr">
        <is>
          <t>300 ms debounce; default disabled in MarketsGrid (explicit-save model).</t>
        </is>
      </c>
      <c r="G29" s="3" t="inlineStr">
        <is>
          <t>1. autoSaveDebounceMs prop sets window
2. Default: auto-save DISABLED (production)
3. When enabled, dirty modules trigger one persist per window
4. save()/discard() flush pending timers
5. No race between debounce and explicit save</t>
        </is>
      </c>
      <c r="H29" s="3" t="n">
        <v>3</v>
      </c>
      <c r="I29" s="3" t="inlineStr">
        <is>
          <t>Medium</t>
        </is>
      </c>
      <c r="J29" s="3" t="inlineStr">
        <is>
          <t>packages/shared/core/src/profiles, ProfileSelector.tsx</t>
        </is>
      </c>
      <c r="K29" s="4" t="inlineStr">
        <is>
          <t>Done</t>
        </is>
      </c>
    </row>
    <row r="30" ht="76" customHeight="1">
      <c r="A30" s="2" t="inlineStr">
        <is>
          <t>Story</t>
        </is>
      </c>
      <c r="B30" s="2" t="inlineStr">
        <is>
          <t>MG-29</t>
        </is>
      </c>
      <c r="C30" s="2" t="inlineStr">
        <is>
          <t>MG-E5</t>
        </is>
      </c>
      <c r="D30" s="2" t="inlineStr">
        <is>
          <t>Layout / Profile Management</t>
        </is>
      </c>
      <c r="E30" s="2" t="inlineStr">
        <is>
          <t>OpenFin per-view active layout pointer</t>
        </is>
      </c>
      <c r="F30" s="2" t="inlineStr">
        <is>
          <t>createOpenFinViewProfileSource() reads/writes active layout id on view.customData.</t>
        </is>
      </c>
      <c r="G30" s="2" t="inlineStr">
        <is>
          <t>1. Active id read from fin.me.customData.activeProfileId
2. Activation writes back via fin.me.updateOptions(...)
3. Falls back to localStorage when fin unavailable
4. Browser environment ignores source cleanly
5. Workspace snapshot capture sees the pointer</t>
        </is>
      </c>
      <c r="H30" s="2" t="n">
        <v>3</v>
      </c>
      <c r="I30" s="2" t="inlineStr">
        <is>
          <t>High</t>
        </is>
      </c>
      <c r="J30" s="2" t="inlineStr">
        <is>
          <t>packages/shared/core/src/profiles, ProfileSelector.tsx</t>
        </is>
      </c>
      <c r="K30" s="4" t="inlineStr">
        <is>
          <t>Done</t>
        </is>
      </c>
    </row>
    <row r="31" ht="104" customHeight="1">
      <c r="A31" s="3" t="inlineStr">
        <is>
          <t>Story</t>
        </is>
      </c>
      <c r="B31" s="3" t="inlineStr">
        <is>
          <t>MG-30</t>
        </is>
      </c>
      <c r="C31" s="3" t="inlineStr">
        <is>
          <t>MG-E6</t>
        </is>
      </c>
      <c r="D31" s="3" t="inlineStr">
        <is>
          <t>Column Customization Module</t>
        </is>
      </c>
      <c r="E31" s="3" t="inlineStr">
        <is>
          <t>ColumnAssignment state + style reducers</t>
        </is>
      </c>
      <c r="F31" s="3" t="inlineStr">
        <is>
          <t>Per-column overrides + Typography/Colors/Alignment/Borders reducers across cell vs header scope.</t>
        </is>
      </c>
      <c r="G31" s="3" t="inlineStr">
        <is>
          <t>1. State {assignments: Record&lt;colId, ColumnAssignment&gt;}
2. Typography reducer: fontFamily/fontSize/fontWeight/italic/underline
3. Colors reducer: fg, bg independent
4. Alignment reducer: horizontal + vertical
5. Borders reducer: per-side {width, color, style}
6. clearAllBorders wipes selected scope
7. Header alignment falls back through headerStyleOverrides → cellStyleOverrides</t>
        </is>
      </c>
      <c r="H31" s="3" t="n">
        <v>8</v>
      </c>
      <c r="I31" s="3" t="inlineStr">
        <is>
          <t>High</t>
        </is>
      </c>
      <c r="J31" s="3" t="inlineStr">
        <is>
          <t>packages/react/widgets/grid-react/src/modules/column-customization</t>
        </is>
      </c>
      <c r="K31" s="4" t="inlineStr">
        <is>
          <t>Done</t>
        </is>
      </c>
    </row>
    <row r="32" ht="90" customHeight="1">
      <c r="A32" s="2" t="inlineStr">
        <is>
          <t>Story</t>
        </is>
      </c>
      <c r="B32" s="2" t="inlineStr">
        <is>
          <t>MG-31</t>
        </is>
      </c>
      <c r="C32" s="2" t="inlineStr">
        <is>
          <t>MG-E6</t>
        </is>
      </c>
      <c r="D32" s="2" t="inlineStr">
        <is>
          <t>Column Customization Module</t>
        </is>
      </c>
      <c r="E32" s="2" t="inlineStr">
        <is>
          <t>Formatter / header / editable / cell-editor reducers</t>
        </is>
      </c>
      <c r="F32" s="2" t="inlineStr">
        <is>
          <t>applyFormatter (template), applyHeaderName, applyEditable, applyCellEditorKind, applyCellEditorValues.</t>
        </is>
      </c>
      <c r="G32" s="2" t="inlineStr">
        <is>
          <t>1. Formatter writes ValueFormatterTemplate (preset/excelFormat/expression/tick)
2. Header reducer updates headerName
3. Editable toggles editing
4. Cell-editor kinds: text/number/date/dropdown/checkbox/autocomplete/large-text/popup
5. valuesSource binding accepts {{provider.key}}
6. Writes idempotent</t>
        </is>
      </c>
      <c r="H32" s="2" t="n">
        <v>5</v>
      </c>
      <c r="I32" s="2" t="inlineStr">
        <is>
          <t>High</t>
        </is>
      </c>
      <c r="J32" s="2" t="inlineStr">
        <is>
          <t>packages/react/widgets/grid-react/src/modules/column-customization</t>
        </is>
      </c>
      <c r="K32" s="4" t="inlineStr">
        <is>
          <t>Done</t>
        </is>
      </c>
    </row>
    <row r="33" ht="90" customHeight="1">
      <c r="A33" s="3" t="inlineStr">
        <is>
          <t>Story</t>
        </is>
      </c>
      <c r="B33" s="3" t="inlineStr">
        <is>
          <t>MG-32</t>
        </is>
      </c>
      <c r="C33" s="3" t="inlineStr">
        <is>
          <t>MG-E6</t>
        </is>
      </c>
      <c r="D33" s="3" t="inlineStr">
        <is>
          <t>Column Customization Module</t>
        </is>
      </c>
      <c r="E33" s="3" t="inlineStr">
        <is>
          <t>Filter config (kind/floating/buttons/set/multi)</t>
        </is>
      </c>
      <c r="F33" s="3" t="inlineStr">
        <is>
          <t>Tri-state enable; kind picker; floating filter; buttons; debounce; closeOnApply; set-filter sub-controls; multi-filter ordered sub-list.</t>
        </is>
      </c>
      <c r="G33" s="3" t="inlineStr">
        <is>
          <t>1. Kind selectable from full enum incl. streamSafe variants
2. Floating filter independent toggle
3. Buttons multi-select: apply/clear/reset/cancel
4. Set-filter: mini-filter, select-all, alphabetical sort, Excel mode (Win/Mac), default-to-nothing
5. Multi-filter sub-list with display-mode (inline/subMenu/accordion)
6. Debounce + closeOnApply</t>
        </is>
      </c>
      <c r="H33" s="3" t="n">
        <v>5</v>
      </c>
      <c r="I33" s="3" t="inlineStr">
        <is>
          <t>High</t>
        </is>
      </c>
      <c r="J33" s="3" t="inlineStr">
        <is>
          <t>packages/react/widgets/grid-react/src/modules/column-customization</t>
        </is>
      </c>
      <c r="K33" s="4" t="inlineStr">
        <is>
          <t>Done</t>
        </is>
      </c>
    </row>
    <row r="34" ht="76" customHeight="1">
      <c r="A34" s="2" t="inlineStr">
        <is>
          <t>Story</t>
        </is>
      </c>
      <c r="B34" s="2" t="inlineStr">
        <is>
          <t>MG-33</t>
        </is>
      </c>
      <c r="C34" s="2" t="inlineStr">
        <is>
          <t>MG-E6</t>
        </is>
      </c>
      <c r="D34" s="2" t="inlineStr">
        <is>
          <t>Column Customization Module</t>
        </is>
      </c>
      <c r="E34" s="2" t="inlineStr">
        <is>
          <t>Row-grouping config + custom aggregations</t>
        </is>
      </c>
      <c r="F34" s="2" t="inlineStr">
        <is>
          <t>enableRowGroup/enableValue/enablePivot; rowGroup/pivot index; agg func with custom expression.</t>
        </is>
      </c>
      <c r="G34" s="2" t="inlineStr">
        <is>
          <t>1. Per-column rowGroup/pivot with stable index order
2. Tool-panel enable flags propagate to colDef
3. Built-in aggs: sum/min/max/count/avg/first/last
4. Custom agg expression evaluated via shared engine with [value]
5. Grid-level group display + total rows + suppressAggFuncInHeader</t>
        </is>
      </c>
      <c r="H34" s="2" t="n">
        <v>5</v>
      </c>
      <c r="I34" s="2" t="inlineStr">
        <is>
          <t>High</t>
        </is>
      </c>
      <c r="J34" s="2" t="inlineStr">
        <is>
          <t>packages/react/widgets/grid-react/src/modules/column-customization</t>
        </is>
      </c>
      <c r="K34" s="4" t="inlineStr">
        <is>
          <t>Done</t>
        </is>
      </c>
    </row>
    <row r="35" ht="76" customHeight="1">
      <c r="A35" s="3" t="inlineStr">
        <is>
          <t>Story</t>
        </is>
      </c>
      <c r="B35" s="3" t="inlineStr">
        <is>
          <t>MG-34</t>
        </is>
      </c>
      <c r="C35" s="3" t="inlineStr">
        <is>
          <t>MG-E6</t>
        </is>
      </c>
      <c r="D35" s="3" t="inlineStr">
        <is>
          <t>Column Customization Module</t>
        </is>
      </c>
      <c r="E35" s="3" t="inlineStr">
        <is>
          <t>Template chain resolution + clear-all-styles</t>
        </is>
      </c>
      <c r="F35" s="3" t="inlineStr">
        <is>
          <t>templateIds[] resolved bottom-to-top; type-defaults fallback; clearAllStyles (selected) and clearAllStylesInProfile.</t>
        </is>
      </c>
      <c r="G35" s="3" t="inlineStr">
        <is>
          <t>1. mergeOverrides combines templates and per-column assignment
2. Empty templateIds=[] disables type-defaults fallback
3. removeTemplateRefFromAssignments cleans up on template delete
4. Style fields deep-merge; non-style last-writer-wins
5. Clear-all actions guarded by AlertDialog</t>
        </is>
      </c>
      <c r="H35" s="3" t="n">
        <v>5</v>
      </c>
      <c r="I35" s="3" t="inlineStr">
        <is>
          <t>High</t>
        </is>
      </c>
      <c r="J35" s="3" t="inlineStr">
        <is>
          <t>packages/react/widgets/grid-react/src/modules/column-customization</t>
        </is>
      </c>
      <c r="K35" s="4" t="inlineStr">
        <is>
          <t>Done</t>
        </is>
      </c>
    </row>
    <row r="36" ht="90" customHeight="1">
      <c r="A36" s="2" t="inlineStr">
        <is>
          <t>Story</t>
        </is>
      </c>
      <c r="B36" s="2" t="inlineStr">
        <is>
          <t>MG-35</t>
        </is>
      </c>
      <c r="C36" s="2" t="inlineStr">
        <is>
          <t>MG-E6</t>
        </is>
      </c>
      <c r="D36" s="2" t="inlineStr">
        <is>
          <t>Column Customization Module</t>
        </is>
      </c>
      <c r="E36" s="2" t="inlineStr">
        <is>
          <t>CSS injection + ColumnSettingsPanel master-detail</t>
        </is>
      </c>
      <c r="F36" s="2" t="inlineStr">
        <is>
          <t>Inject .ds-col-c-{colId} / .ds-hdr-c-{colId} via ResourceScope. ListPane virtualized past 60 columns.</t>
        </is>
      </c>
      <c r="G36" s="2" t="inlineStr">
        <is>
          <t>1. Stable per-column class names
2. Rules injected via CssInjector with deterministic style-id
3. Replaced atomically on layout switch
4. ListPane virtualizes when count &gt; 60 (36px row, 8-row overscan)
5. Override-badge memoized as Set&lt;colId&gt;; single useDirtyColIds() subscription
6. Bulk-select applies reducers across all selected</t>
        </is>
      </c>
      <c r="H36" s="2" t="n">
        <v>5</v>
      </c>
      <c r="I36" s="2" t="inlineStr">
        <is>
          <t>High</t>
        </is>
      </c>
      <c r="J36" s="2" t="inlineStr">
        <is>
          <t>packages/react/widgets/grid-react/src/modules/column-customization</t>
        </is>
      </c>
      <c r="K36" s="4" t="inlineStr">
        <is>
          <t>Done</t>
        </is>
      </c>
    </row>
    <row r="37" ht="62" customHeight="1">
      <c r="A37" s="3" t="inlineStr">
        <is>
          <t>Story</t>
        </is>
      </c>
      <c r="B37" s="3" t="inlineStr">
        <is>
          <t>MG-36</t>
        </is>
      </c>
      <c r="C37" s="3" t="inlineStr">
        <is>
          <t>MG-E7</t>
        </is>
      </c>
      <c r="D37" s="3" t="inlineStr">
        <is>
          <t>Column Templates Module</t>
        </is>
      </c>
      <c r="E37" s="3" t="inlineStr">
        <is>
          <t>Template state + resolution + type-defaults</t>
        </is>
      </c>
      <c r="F37" s="3" t="inlineStr">
        <is>
          <t>templates Record + typeDefaults map by ColumnDataType.</t>
        </is>
      </c>
      <c r="G37" s="3" t="inlineStr">
        <is>
          <t>1. State: {templates, typeDefaults}
2. Template fields: id, name, description, cellStyleOverrides, headerStyleOverrides, valueFormatterTemplate, behavior flags, cellEditorName/Params, cellRendererName, timestamps
3. typeDefaults consulted only when column has neither explicit templateIds nor templateIds=[]
4. No SettingsPanel; passive state holder</t>
        </is>
      </c>
      <c r="H37" s="3" t="n">
        <v>3</v>
      </c>
      <c r="I37" s="3" t="inlineStr">
        <is>
          <t>High</t>
        </is>
      </c>
      <c r="J37" s="3" t="inlineStr">
        <is>
          <t>packages/react/widgets/grid-react/src/modules/column-templates</t>
        </is>
      </c>
      <c r="K37" s="4" t="inlineStr">
        <is>
          <t>Done</t>
        </is>
      </c>
    </row>
    <row r="38" ht="76" customHeight="1">
      <c r="A38" s="2" t="inlineStr">
        <is>
          <t>Story</t>
        </is>
      </c>
      <c r="B38" s="2" t="inlineStr">
        <is>
          <t>MG-37</t>
        </is>
      </c>
      <c r="C38" s="2" t="inlineStr">
        <is>
          <t>MG-E7</t>
        </is>
      </c>
      <c r="D38" s="2" t="inlineStr">
        <is>
          <t>Column Templates Module</t>
        </is>
      </c>
      <c r="E38" s="2" t="inlineStr">
        <is>
          <t>snapshotTemplate authoring</t>
        </is>
      </c>
      <c r="F38" s="2" t="inlineStr">
        <is>
          <t>Capture current style/formatter/editor/behavior into new ColumnTemplate from Formatting Toolbar.</t>
        </is>
      </c>
      <c r="G38" s="2" t="inlineStr">
        <is>
          <t>1. 'Save as template' captures cellStyleOverrides, headerStyleOverrides, valueFormatterTemplate, behavior flags
2. Stable id; createdAt/updatedAt = now
3. Name user-supplied; description optional
4. Immediately appears in Column Settings TEMPLATES band
5. Re-saving overwrites by id</t>
        </is>
      </c>
      <c r="H38" s="2" t="n">
        <v>3</v>
      </c>
      <c r="I38" s="2" t="inlineStr">
        <is>
          <t>Medium</t>
        </is>
      </c>
      <c r="J38" s="2" t="inlineStr">
        <is>
          <t>packages/react/widgets/grid-react/src/modules/column-templates</t>
        </is>
      </c>
      <c r="K38" s="4" t="inlineStr">
        <is>
          <t>Done</t>
        </is>
      </c>
    </row>
    <row r="39" ht="76" customHeight="1">
      <c r="A39" s="3" t="inlineStr">
        <is>
          <t>Story</t>
        </is>
      </c>
      <c r="B39" s="3" t="inlineStr">
        <is>
          <t>MG-38</t>
        </is>
      </c>
      <c r="C39" s="3" t="inlineStr">
        <is>
          <t>MG-E7</t>
        </is>
      </c>
      <c r="D39" s="3" t="inlineStr">
        <is>
          <t>Column Templates Module</t>
        </is>
      </c>
      <c r="E39" s="3" t="inlineStr">
        <is>
          <t>Apply / remove template in Column Settings</t>
        </is>
      </c>
      <c r="F39" s="3" t="inlineStr">
        <is>
          <t>Per-column UI to push/drop templateIds.</t>
        </is>
      </c>
      <c r="G39" s="3" t="inlineStr">
        <is>
          <t>1. Lists every template with Apply/Remove buttons
2. Apply pushes templateId with dedup
3. Remove drops id, preserves remaining order
4. Effect visible in live grid within one frame
5. Cleanup on template delete</t>
        </is>
      </c>
      <c r="H39" s="3" t="n">
        <v>2</v>
      </c>
      <c r="I39" s="3" t="inlineStr">
        <is>
          <t>Medium</t>
        </is>
      </c>
      <c r="J39" s="3" t="inlineStr">
        <is>
          <t>packages/react/widgets/grid-react/src/modules/column-templates</t>
        </is>
      </c>
      <c r="K39" s="4" t="inlineStr">
        <is>
          <t>Done</t>
        </is>
      </c>
    </row>
    <row r="40" ht="76" customHeight="1">
      <c r="A40" s="2" t="inlineStr">
        <is>
          <t>Story</t>
        </is>
      </c>
      <c r="B40" s="2" t="inlineStr">
        <is>
          <t>MG-39</t>
        </is>
      </c>
      <c r="C40" s="2" t="inlineStr">
        <is>
          <t>MG-E8</t>
        </is>
      </c>
      <c r="D40" s="2" t="inlineStr">
        <is>
          <t>Calculated Columns Module</t>
        </is>
      </c>
      <c r="E40" s="2" t="inlineStr">
        <is>
          <t>Virtual column transformColumnDefs</t>
        </is>
      </c>
      <c r="F40" s="2" t="inlineStr">
        <is>
          <t>Append VirtualColumnDef[] to base; visible in api.getColumns(); inherit customization pipeline + Excel [Red]/[Green].</t>
        </is>
      </c>
      <c r="G40" s="2" t="inlineStr">
        <is>
          <t>1. Each virtualColumn appends ColDef with valueGetter wired to ExpressionEngine
2. Virtual colIds visible to api.getColumns()
3. Position/initialWidth/initialHide/initialPinned respected
4. Picked up by Column Groups composer
5. excelFormat [Red]/[Green] resolves correctly on virtuals</t>
        </is>
      </c>
      <c r="H40" s="2" t="n">
        <v>5</v>
      </c>
      <c r="I40" s="2" t="inlineStr">
        <is>
          <t>High</t>
        </is>
      </c>
      <c r="J40" s="2" t="inlineStr">
        <is>
          <t>packages/react/widgets/grid-react/src/modules/calculated-columns</t>
        </is>
      </c>
      <c r="K40" s="4" t="inlineStr">
        <is>
          <t>Done</t>
        </is>
      </c>
    </row>
    <row r="41" ht="76" customHeight="1">
      <c r="A41" s="3" t="inlineStr">
        <is>
          <t>Story</t>
        </is>
      </c>
      <c r="B41" s="3" t="inlineStr">
        <is>
          <t>MG-40</t>
        </is>
      </c>
      <c r="C41" s="3" t="inlineStr">
        <is>
          <t>MG-E8</t>
        </is>
      </c>
      <c r="D41" s="3" t="inlineStr">
        <is>
          <t>Calculated Columns Module</t>
        </is>
      </c>
      <c r="E41" s="3" t="inlineStr">
        <is>
          <t>Cross-row evaluation context + cache invalidation</t>
        </is>
      </c>
      <c r="F41" s="3" t="inlineStr">
        <is>
          <t>EvaluationContext.allRows from WeakMap; cache invalidates on rowDataUpdated/modelUpdated/cellValueChanged.</t>
        </is>
      </c>
      <c r="G41" s="3" t="inlineStr">
        <is>
          <t>1. Aggregations like SUM([col]) see all live rows
2. WeakMap per GridApi avoids cross-grid leakage
3. Cache invalidated on row events
4. api.refreshCells({columns: virtualColIds, force: true}) on dependency change
5. Errors surface as null cell, not crash</t>
        </is>
      </c>
      <c r="H41" s="3" t="n">
        <v>5</v>
      </c>
      <c r="I41" s="3" t="inlineStr">
        <is>
          <t>High</t>
        </is>
      </c>
      <c r="J41" s="3" t="inlineStr">
        <is>
          <t>packages/react/widgets/grid-react/src/modules/calculated-columns</t>
        </is>
      </c>
      <c r="K41" s="4" t="inlineStr">
        <is>
          <t>Done</t>
        </is>
      </c>
    </row>
    <row r="42" ht="76" customHeight="1">
      <c r="A42" s="2" t="inlineStr">
        <is>
          <t>Story</t>
        </is>
      </c>
      <c r="B42" s="2" t="inlineStr">
        <is>
          <t>MG-41</t>
        </is>
      </c>
      <c r="C42" s="2" t="inlineStr">
        <is>
          <t>MG-E8</t>
        </is>
      </c>
      <c r="D42" s="2" t="inlineStr">
        <is>
          <t>Calculated Columns Module</t>
        </is>
      </c>
      <c r="E42" s="2" t="inlineStr">
        <is>
          <t>CalculatedColumnsPanel with Monaco editor</t>
        </is>
      </c>
      <c r="F42" s="2" t="inlineStr">
        <is>
          <t>Master-detail with ExpressionEditor + FormatterPicker.</t>
        </is>
      </c>
      <c r="G42" s="2" t="inlineStr">
        <is>
          <t>1. ListPane with delete + drag-reorder
2. EditorPane renders ExpressionEditor
3. cellDataType selector drives FormatterPicker presets
4. headerName/position/initial width/hide/pinned editable
5. Save validates colId uniqueness against base columns</t>
        </is>
      </c>
      <c r="H42" s="2" t="n">
        <v>5</v>
      </c>
      <c r="I42" s="2" t="inlineStr">
        <is>
          <t>High</t>
        </is>
      </c>
      <c r="J42" s="2" t="inlineStr">
        <is>
          <t>packages/react/widgets/grid-react/src/modules/calculated-columns</t>
        </is>
      </c>
      <c r="K42" s="4" t="inlineStr">
        <is>
          <t>Done</t>
        </is>
      </c>
    </row>
    <row r="43" ht="76" customHeight="1">
      <c r="A43" s="3" t="inlineStr">
        <is>
          <t>Story</t>
        </is>
      </c>
      <c r="B43" s="3" t="inlineStr">
        <is>
          <t>MG-42</t>
        </is>
      </c>
      <c r="C43" s="3" t="inlineStr">
        <is>
          <t>MG-E9</t>
        </is>
      </c>
      <c r="D43" s="3" t="inlineStr">
        <is>
          <t>Column Groups Module</t>
        </is>
      </c>
      <c r="E43" s="3" t="inlineStr">
        <is>
          <t>ColumnGroupNode tree state + tree ops</t>
        </is>
      </c>
      <c r="F43" s="3" t="inlineStr">
        <is>
          <t>groups[] with leaf-or-nested children; openGroupIds map; pure tree ops.</t>
        </is>
      </c>
      <c r="G43" s="3" t="inlineStr">
        <is>
          <t>1. State: {groups, openGroupIds}
2. Child union: {kind:'col',colId,show?} | {kind:'group',group}
3. Round-trip lossless
4. Stale openGroupIds pruned on deserialize
5. flattenGroups/updateGroupAtPath/deleteGroupAtPath/moveGroupAtPath/findGroupByPath unit-tested</t>
        </is>
      </c>
      <c r="H43" s="3" t="n">
        <v>5</v>
      </c>
      <c r="I43" s="3" t="inlineStr">
        <is>
          <t>High</t>
        </is>
      </c>
      <c r="J43" s="3" t="inlineStr">
        <is>
          <t>packages/react/widgets/grid-react/src/modules/column-groups</t>
        </is>
      </c>
      <c r="K43" s="4" t="inlineStr">
        <is>
          <t>Done</t>
        </is>
      </c>
    </row>
    <row r="44" ht="76" customHeight="1">
      <c r="A44" s="2" t="inlineStr">
        <is>
          <t>Story</t>
        </is>
      </c>
      <c r="B44" s="2" t="inlineStr">
        <is>
          <t>MG-43</t>
        </is>
      </c>
      <c r="C44" s="2" t="inlineStr">
        <is>
          <t>MG-E9</t>
        </is>
      </c>
      <c r="D44" s="2" t="inlineStr">
        <is>
          <t>Column Groups Module</t>
        </is>
      </c>
      <c r="E44" s="2" t="inlineStr">
        <is>
          <t>ColumnGroupsPanel editor (depth cap, child visibility)</t>
        </is>
      </c>
      <c r="F44" s="2" t="inlineStr">
        <is>
          <t>Master-detail; drag-reorder; subgroup capped at depth 3; child tri-state visibility.</t>
        </is>
      </c>
      <c r="G44" s="2" t="inlineStr">
        <is>
          <t>1. UI lets user create/rename/delete/reorder groups
2. Add subgroup disabled at depth 3
3. Per-child show maps to columnGroupShow ('open'/'closed'/undefined)
4. Per-group fields editable inline
5. Live grid reflects edits within one frame</t>
        </is>
      </c>
      <c r="H44" s="2" t="n">
        <v>5</v>
      </c>
      <c r="I44" s="2" t="inlineStr">
        <is>
          <t>High</t>
        </is>
      </c>
      <c r="J44" s="2" t="inlineStr">
        <is>
          <t>packages/react/widgets/grid-react/src/modules/column-groups</t>
        </is>
      </c>
      <c r="K44" s="4" t="inlineStr">
        <is>
          <t>Done</t>
        </is>
      </c>
    </row>
    <row r="45" ht="76" customHeight="1">
      <c r="A45" s="3" t="inlineStr">
        <is>
          <t>Story</t>
        </is>
      </c>
      <c r="B45" s="3" t="inlineStr">
        <is>
          <t>MG-44</t>
        </is>
      </c>
      <c r="C45" s="3" t="inlineStr">
        <is>
          <t>MG-E9</t>
        </is>
      </c>
      <c r="D45" s="3" t="inlineStr">
        <is>
          <t>Column Groups Module</t>
        </is>
      </c>
      <c r="E45" s="3" t="inlineStr">
        <is>
          <t>Per-group header styling + runtime persistence</t>
        </is>
      </c>
      <c r="F45" s="3" t="inlineStr">
        <is>
          <t>headerStyle (bold/italic/underline/fontSize/color/bg/align/per-side borders). AG-Grid columnGroupOpened → openGroupIds; restored on transform.</t>
        </is>
      </c>
      <c r="G45" s="3" t="inlineStr">
        <is>
          <t>1. headerStyle stored per group; CSS injection per groupId + ::after border overlay
2. Cleaned up on group delete or panel unmount
3. User-driven expand/collapse persisted
4. On transform, openGroupIds maps to ColGroupDef.openByDefault
5. Survives reload</t>
        </is>
      </c>
      <c r="H45" s="3" t="n">
        <v>5</v>
      </c>
      <c r="I45" s="3" t="inlineStr">
        <is>
          <t>Medium</t>
        </is>
      </c>
      <c r="J45" s="3" t="inlineStr">
        <is>
          <t>packages/react/widgets/grid-react/src/modules/column-groups</t>
        </is>
      </c>
      <c r="K45" s="4" t="inlineStr">
        <is>
          <t>Done</t>
        </is>
      </c>
    </row>
    <row r="46" ht="76" customHeight="1">
      <c r="A46" s="2" t="inlineStr">
        <is>
          <t>Story</t>
        </is>
      </c>
      <c r="B46" s="2" t="inlineStr">
        <is>
          <t>MG-45</t>
        </is>
      </c>
      <c r="C46" s="2" t="inlineStr">
        <is>
          <t>MG-E10</t>
        </is>
      </c>
      <c r="D46" s="2" t="inlineStr">
        <is>
          <t>Conditional Styling Module</t>
        </is>
      </c>
      <c r="E46" s="2" t="inlineStr">
        <is>
          <t>Rule data model + cell/row scope</t>
        </is>
      </c>
      <c r="F46" s="2" t="inlineStr">
        <is>
          <t>Per-rule fields: id, enabled, priority, scope, expression, style, flash, indicator, valueFormatterTemplate?.</t>
        </is>
      </c>
      <c r="G46" s="2" t="inlineStr">
        <is>
          <t>1. State {rules: ConditionalRule[]}
2. Priority numeric; lower priority runs first; deterministic cascade
3. Scope = {type:'cell', columns:[]} | {type:'row'}
4. Expression evaluated with {value, x, data, columns}
5. valueFormatterTemplate? override per rule</t>
        </is>
      </c>
      <c r="H46" s="2" t="n">
        <v>3</v>
      </c>
      <c r="I46" s="2" t="inlineStr">
        <is>
          <t>High</t>
        </is>
      </c>
      <c r="J46" s="2" t="inlineStr">
        <is>
          <t>packages/react/widgets/grid-react/src/modules/conditional-styling</t>
        </is>
      </c>
      <c r="K46" s="4" t="inlineStr">
        <is>
          <t>Done</t>
        </is>
      </c>
    </row>
    <row r="47" ht="76" customHeight="1">
      <c r="A47" s="3" t="inlineStr">
        <is>
          <t>Story</t>
        </is>
      </c>
      <c r="B47" s="3" t="inlineStr">
        <is>
          <t>MG-46</t>
        </is>
      </c>
      <c r="C47" s="3" t="inlineStr">
        <is>
          <t>MG-E10</t>
        </is>
      </c>
      <c r="D47" s="3" t="inlineStr">
        <is>
          <t>Conditional Styling Module</t>
        </is>
      </c>
      <c r="E47" s="3" t="inlineStr">
        <is>
          <t>Cell + row class rules pipeline (.ds-rule-{id})</t>
        </is>
      </c>
      <c r="F47" s="3" t="inlineStr">
        <is>
          <t>Cell → cellClassRules; row → rowClassRules; CSS injected via ResourceScope.</t>
        </is>
      </c>
      <c r="G47" s="3" t="inlineStr">
        <is>
          <t>1. Cell rules add cellClassRules with expression predicate
2. Row rules add rowClassRules with same predicate
3. Style block applied via injected CSS rule
4. Inactive rules excluded from injection
5. Class names stable across renders</t>
        </is>
      </c>
      <c r="H47" s="3" t="n">
        <v>5</v>
      </c>
      <c r="I47" s="3" t="inlineStr">
        <is>
          <t>High</t>
        </is>
      </c>
      <c r="J47" s="3" t="inlineStr">
        <is>
          <t>packages/react/widgets/grid-react/src/modules/conditional-styling</t>
        </is>
      </c>
      <c r="K47" s="4" t="inlineStr">
        <is>
          <t>Done</t>
        </is>
      </c>
    </row>
    <row r="48" ht="90" customHeight="1">
      <c r="A48" s="2" t="inlineStr">
        <is>
          <t>Story</t>
        </is>
      </c>
      <c r="B48" s="2" t="inlineStr">
        <is>
          <t>MG-47</t>
        </is>
      </c>
      <c r="C48" s="2" t="inlineStr">
        <is>
          <t>MG-E10</t>
        </is>
      </c>
      <c r="D48" s="2" t="inlineStr">
        <is>
          <t>Conditional Styling Module</t>
        </is>
      </c>
      <c r="E48" s="2" t="inlineStr">
        <is>
          <t>Flash with CSS keyframes (per-rule color/timing/target)</t>
        </is>
      </c>
      <c r="F48" s="2" t="inlineStr">
        <is>
          <t>enabled, target, mode (oneShot/pulse), color preset, durationMs. CSS keyframes (not AG-Grid flashCells).</t>
        </is>
      </c>
      <c r="G48" s="2" t="inlineStr">
        <is>
          <t>1. Flash target options selectable
2. Mode oneShot vs continuous-pulse
3. Color presets: amber/emerald/rose/sky/violet/teal/orange/slate
4. durationMs default 700; per-rule overridable
5. Header pulse via DOM watcher (modelUpdated/filterChanged/cellValueChanged)
6. Animation name namespaced per rule</t>
        </is>
      </c>
      <c r="H48" s="2" t="n">
        <v>5</v>
      </c>
      <c r="I48" s="2" t="inlineStr">
        <is>
          <t>High</t>
        </is>
      </c>
      <c r="J48" s="2" t="inlineStr">
        <is>
          <t>packages/react/widgets/grid-react/src/modules/conditional-styling</t>
        </is>
      </c>
      <c r="K48" s="4" t="inlineStr">
        <is>
          <t>Done</t>
        </is>
      </c>
    </row>
    <row r="49" ht="76" customHeight="1">
      <c r="A49" s="3" t="inlineStr">
        <is>
          <t>Story</t>
        </is>
      </c>
      <c r="B49" s="3" t="inlineStr">
        <is>
          <t>MG-48</t>
        </is>
      </c>
      <c r="C49" s="3" t="inlineStr">
        <is>
          <t>MG-E10</t>
        </is>
      </c>
      <c r="D49" s="3" t="inlineStr">
        <is>
          <t>Conditional Styling Module</t>
        </is>
      </c>
      <c r="E49" s="3" t="inlineStr">
        <is>
          <t>Indicator icons via CSS ::before</t>
        </is>
      </c>
      <c r="F49" s="3" t="inlineStr">
        <is>
          <t>Per-rule icon (Lucide key), color, position (TL/TR/BL/BR/LM/RM), target (cells/headers/both).</t>
        </is>
      </c>
      <c r="G49" s="3" t="inlineStr">
        <is>
          <t>1. INDICATOR_ICONS catalog (check/x/info/warn/up/down/etc)
2. Painted via CSS ::before (zero React per cell)
3. .ag-floating-filter excluded from overlay
4. Position controls offset; color resolves CSS var
5. Indicator survives flash and cohabits with cell style</t>
        </is>
      </c>
      <c r="H49" s="3" t="n">
        <v>3</v>
      </c>
      <c r="I49" s="3" t="inlineStr">
        <is>
          <t>Medium</t>
        </is>
      </c>
      <c r="J49" s="3" t="inlineStr">
        <is>
          <t>packages/react/widgets/grid-react/src/modules/conditional-styling</t>
        </is>
      </c>
      <c r="K49" s="4" t="inlineStr">
        <is>
          <t>Done</t>
        </is>
      </c>
    </row>
    <row r="50" ht="76" customHeight="1">
      <c r="A50" s="2" t="inlineStr">
        <is>
          <t>Story</t>
        </is>
      </c>
      <c r="B50" s="2" t="inlineStr">
        <is>
          <t>MG-49</t>
        </is>
      </c>
      <c r="C50" s="2" t="inlineStr">
        <is>
          <t>MG-E10</t>
        </is>
      </c>
      <c r="D50" s="2" t="inlineStr">
        <is>
          <t>Conditional Styling Module</t>
        </is>
      </c>
      <c r="E50" s="2" t="inlineStr">
        <is>
          <t>Time-limited (expiring) rule activations</t>
        </is>
      </c>
      <c r="F50" s="2" t="inlineStr">
        <is>
          <t>Per-rule optional expiresAt / windowMs auto-disables rule after window. (Recent commit: 'timed style window'.)</t>
        </is>
      </c>
      <c r="G50" s="2" t="inlineStr">
        <is>
          <t>1. Rule may carry expiresAt (timestamp) or windowMs (relative)
2. Activation enforces window; rule auto-disabled when window passes
3. Live timer triggers re-injection without full grid reload
4. Persisted in layout; expired rules surface as disabled on restore
5. UI shows remaining time on active expiring rules</t>
        </is>
      </c>
      <c r="H50" s="2" t="n">
        <v>5</v>
      </c>
      <c r="I50" s="2" t="inlineStr">
        <is>
          <t>Medium</t>
        </is>
      </c>
      <c r="J50" s="2" t="inlineStr">
        <is>
          <t>packages/react/widgets/grid-react/src/modules/conditional-styling</t>
        </is>
      </c>
      <c r="K50" s="4" t="inlineStr">
        <is>
          <t>Done</t>
        </is>
      </c>
    </row>
    <row r="51" ht="76" customHeight="1">
      <c r="A51" s="3" t="inlineStr">
        <is>
          <t>Story</t>
        </is>
      </c>
      <c r="B51" s="3" t="inlineStr">
        <is>
          <t>MG-50</t>
        </is>
      </c>
      <c r="C51" s="3" t="inlineStr">
        <is>
          <t>MG-E10</t>
        </is>
      </c>
      <c r="D51" s="3" t="inlineStr">
        <is>
          <t>Conditional Styling Module</t>
        </is>
      </c>
      <c r="E51" s="3" t="inlineStr">
        <is>
          <t>ConditionalStylingPanel rule editor</t>
        </is>
      </c>
      <c r="F51" s="3" t="inlineStr">
        <is>
          <t>Master-detail with priority drag, enabled toggle, ExpressionEditor, scope picker, StyleEditor, flash editor, indicator editor.</t>
        </is>
      </c>
      <c r="G51" s="3" t="inlineStr">
        <is>
          <t>1. Drag-reorder updates priority
2. Per-rule enabled toggle without opening editor
3. StyleEditor composed of TextSection/ColorSection/BorderSection/FormatSection
4. Indicator editor picks icon/color/position/target
5. Live sample preview within one frame</t>
        </is>
      </c>
      <c r="H51" s="3" t="n">
        <v>5</v>
      </c>
      <c r="I51" s="3" t="inlineStr">
        <is>
          <t>High</t>
        </is>
      </c>
      <c r="J51" s="3" t="inlineStr">
        <is>
          <t>packages/react/widgets/grid-react/src/modules/conditional-styling</t>
        </is>
      </c>
      <c r="K51" s="4" t="inlineStr">
        <is>
          <t>Done</t>
        </is>
      </c>
    </row>
    <row r="52" ht="76" customHeight="1">
      <c r="A52" s="2" t="inlineStr">
        <is>
          <t>Story</t>
        </is>
      </c>
      <c r="B52" s="2" t="inlineStr">
        <is>
          <t>MG-51</t>
        </is>
      </c>
      <c r="C52" s="2" t="inlineStr">
        <is>
          <t>MG-E11</t>
        </is>
      </c>
      <c r="D52" s="2" t="inlineStr">
        <is>
          <t>Grid State Persistence Module</t>
        </is>
      </c>
      <c r="E52" s="2" t="inlineStr">
        <is>
          <t>Capture native grid state on explicit Save</t>
        </is>
      </c>
      <c r="F52" s="2" t="inlineStr">
        <is>
          <t>api.getState() snapshot + viewport anchor + quickFilter.</t>
        </is>
      </c>
      <c r="G52" s="2" t="inlineStr">
        <is>
          <t>1. captureGridStateInto(store, api) collects full api.getState()
2. Viewport anchor: firstRowIndex, leftColId, horizontalPixel
3. quickFilterText included
4. Runs only on explicit Save (never auto-save)
5. State persisted in grid-state module slice</t>
        </is>
      </c>
      <c r="H52" s="2" t="n">
        <v>5</v>
      </c>
      <c r="I52" s="2" t="inlineStr">
        <is>
          <t>High</t>
        </is>
      </c>
      <c r="J52" s="2" t="inlineStr">
        <is>
          <t>packages/react/widgets/grid-react/src/modules/grid-state</t>
        </is>
      </c>
      <c r="K52" s="4" t="inlineStr">
        <is>
          <t>Done</t>
        </is>
      </c>
    </row>
    <row r="53" ht="76" customHeight="1">
      <c r="A53" s="3" t="inlineStr">
        <is>
          <t>Story</t>
        </is>
      </c>
      <c r="B53" s="3" t="inlineStr">
        <is>
          <t>MG-52</t>
        </is>
      </c>
      <c r="C53" s="3" t="inlineStr">
        <is>
          <t>MG-E11</t>
        </is>
      </c>
      <c r="D53" s="3" t="inlineStr">
        <is>
          <t>Grid State Persistence Module</t>
        </is>
      </c>
      <c r="E53" s="3" t="inlineStr">
        <is>
          <t>Replay state on grid-ready + profile-loaded</t>
        </is>
      </c>
      <c r="F53" s="3" t="inlineStr">
        <is>
          <t>applyGridState on cold mount and on profile:loaded; setState({}) for empty/new layout.</t>
        </is>
      </c>
      <c r="G53" s="3" t="inlineStr">
        <is>
          <t>1. Cold mount: replay after onGridReady
2. Profile switch: replay on profile:loaded
3. Empty/new layout clears via api.setState({}) + clear quickFilterText
4. Selection column re-pinned via applyColumnState (microtask + firstDataRendered)
5. Stale saved order merged with live column set</t>
        </is>
      </c>
      <c r="H53" s="3" t="n">
        <v>5</v>
      </c>
      <c r="I53" s="3" t="inlineStr">
        <is>
          <t>High</t>
        </is>
      </c>
      <c r="J53" s="3" t="inlineStr">
        <is>
          <t>packages/react/widgets/grid-react/src/modules/grid-state</t>
        </is>
      </c>
      <c r="K53" s="4" t="inlineStr">
        <is>
          <t>Done</t>
        </is>
      </c>
    </row>
    <row r="54" ht="76" customHeight="1">
      <c r="A54" s="2" t="inlineStr">
        <is>
          <t>Story</t>
        </is>
      </c>
      <c r="B54" s="2" t="inlineStr">
        <is>
          <t>MG-53</t>
        </is>
      </c>
      <c r="C54" s="2" t="inlineStr">
        <is>
          <t>MG-E12</t>
        </is>
      </c>
      <c r="D54" s="2" t="inlineStr">
        <is>
          <t>Saved Filters Module</t>
        </is>
      </c>
      <c r="E54" s="2" t="inlineStr">
        <is>
          <t>Saved-filters state with structural validation + sanitization</t>
        </is>
      </c>
      <c r="F54" s="2" t="inlineStr">
        <is>
          <t>Opaque host-defined state with deserialize-time validation; malformed entries dropped.</t>
        </is>
      </c>
      <c r="G54" s="2" t="inlineStr">
        <is>
          <t>1. SavedFilter shape: {id, label, filterModel, active}
2. Deserialize requires non-empty id+label, plain-object filterModel
3. Coerces active to boolean (legacy 0/1/missing tolerated)
4. Malformed entries silently dropped; log in dev
5. Round-trip lossless</t>
        </is>
      </c>
      <c r="H54" s="2" t="n">
        <v>3</v>
      </c>
      <c r="I54" s="2" t="inlineStr">
        <is>
          <t>High</t>
        </is>
      </c>
      <c r="J54" s="2" t="inlineStr">
        <is>
          <t>packages/react/widgets/grid-react/src/modules/saved-filters</t>
        </is>
      </c>
      <c r="K54" s="4" t="inlineStr">
        <is>
          <t>Done</t>
        </is>
      </c>
    </row>
    <row r="55" ht="90" customHeight="1">
      <c r="A55" s="3" t="inlineStr">
        <is>
          <t>Story</t>
        </is>
      </c>
      <c r="B55" s="3" t="inlineStr">
        <is>
          <t>MG-54</t>
        </is>
      </c>
      <c r="C55" s="3" t="inlineStr">
        <is>
          <t>MG-E12</t>
        </is>
      </c>
      <c r="D55" s="3" t="inlineStr">
        <is>
          <t>Saved Filters Module</t>
        </is>
      </c>
      <c r="E55" s="3" t="inlineStr">
        <is>
          <t>filtersToolbarLogic helpers</t>
        </is>
      </c>
      <c r="F55" s="3" t="inlineStr">
        <is>
          <t>generateLabel, doesRowMatchFilterModel, filterModelsEqual, mergeFilterModels, subtractFilterModel, isNewFilter.</t>
        </is>
      </c>
      <c r="G55" s="3" t="inlineStr">
        <is>
          <t>1. generateLabel: heuristic single-col/two-col/many-col labels
2. doesRowMatchFilterModel(row, model, api): boolean for badge count
3. mergeFilterModels(...): combine multiple pills
4. subtractFilterModel(merged, columnId): remove one column's slice
5. isNewFilter(current, saved[]): detect unsaved live filter
6. Unit + property-based + golden-master tested</t>
        </is>
      </c>
      <c r="H55" s="3" t="n">
        <v>5</v>
      </c>
      <c r="I55" s="3" t="inlineStr">
        <is>
          <t>High</t>
        </is>
      </c>
      <c r="J55" s="3" t="inlineStr">
        <is>
          <t>packages/react/widgets/grid-react/src/modules/saved-filters</t>
        </is>
      </c>
      <c r="K55" s="4" t="inlineStr">
        <is>
          <t>Done</t>
        </is>
      </c>
    </row>
    <row r="56" ht="76" customHeight="1">
      <c r="A56" s="2" t="inlineStr">
        <is>
          <t>Story</t>
        </is>
      </c>
      <c r="B56" s="2" t="inlineStr">
        <is>
          <t>MG-55</t>
        </is>
      </c>
      <c r="C56" s="2" t="inlineStr">
        <is>
          <t>MG-E13</t>
        </is>
      </c>
      <c r="D56" s="2" t="inlineStr">
        <is>
          <t>Toolbar Visibility Module</t>
        </is>
      </c>
      <c r="E56" s="2" t="inlineStr">
        <is>
          <t>Toolbar visibility state map</t>
        </is>
      </c>
      <c r="F56" s="2" t="inlineStr">
        <is>
          <t>Per-toolbar boolean map; missing key = host default; non-boolean values dropped.</t>
        </is>
      </c>
      <c r="G56" s="2" t="inlineStr">
        <is>
          <t>1. State: {visible: Record&lt;toolbarId, boolean&gt;}
2. Missing keys fall to host default
3. Non-boolean values dropped on deserialize
4. First consumer: FiltersToolbar collapse under 'filters-toolbar-pills'
5. Schema-version migration tolerant</t>
        </is>
      </c>
      <c r="H56" s="2" t="n">
        <v>2</v>
      </c>
      <c r="I56" s="2" t="inlineStr">
        <is>
          <t>Medium</t>
        </is>
      </c>
      <c r="J56" s="2" t="inlineStr">
        <is>
          <t>packages/react/widgets/grid-react/src/modules/toolbar-visibility</t>
        </is>
      </c>
      <c r="K56" s="4" t="inlineStr">
        <is>
          <t>Done</t>
        </is>
      </c>
    </row>
    <row r="57" ht="62" customHeight="1">
      <c r="A57" s="3" t="inlineStr">
        <is>
          <t>Story</t>
        </is>
      </c>
      <c r="B57" s="3" t="inlineStr">
        <is>
          <t>MG-56</t>
        </is>
      </c>
      <c r="C57" s="3" t="inlineStr">
        <is>
          <t>MG-E14</t>
        </is>
      </c>
      <c r="D57" s="3" t="inlineStr">
        <is>
          <t>Grid Options Settings Panel (general-settings)</t>
        </is>
      </c>
      <c r="E57" s="3" t="inlineStr">
        <is>
          <t>Essentials band</t>
        </is>
      </c>
      <c r="F57" s="3" t="inlineStr">
        <is>
          <t>rowHeight, headerHeight, animateRows, quickFilterText, pagination, selection, cell flash + fade.</t>
        </is>
      </c>
      <c r="G57" s="3" t="inlineStr">
        <is>
          <t>1. Stepper/Switch/Select primitives
2. Changes write to module state; transformGridOptions applies
3. Defaults match AG-Grid defaults
4. Live preview within one frame</t>
        </is>
      </c>
      <c r="H57" s="3" t="n">
        <v>5</v>
      </c>
      <c r="I57" s="3" t="inlineStr">
        <is>
          <t>High</t>
        </is>
      </c>
      <c r="J57" s="3" t="inlineStr">
        <is>
          <t>packages/react/widgets/grid-react/src/modules/general-settings</t>
        </is>
      </c>
      <c r="K57" s="4" t="inlineStr">
        <is>
          <t>Done</t>
        </is>
      </c>
    </row>
    <row r="58" ht="76" customHeight="1">
      <c r="A58" s="2" t="inlineStr">
        <is>
          <t>Story</t>
        </is>
      </c>
      <c r="B58" s="2" t="inlineStr">
        <is>
          <t>MG-57</t>
        </is>
      </c>
      <c r="C58" s="2" t="inlineStr">
        <is>
          <t>MG-E14</t>
        </is>
      </c>
      <c r="D58" s="2" t="inlineStr">
        <is>
          <t>Grid Options Settings Panel (general-settings)</t>
        </is>
      </c>
      <c r="E58" s="2" t="inlineStr">
        <is>
          <t>Row grouping / pivot band</t>
        </is>
      </c>
      <c r="F58" s="2" t="inlineStr">
        <is>
          <t>groupDisplayType, groupDefaultExpanded, panel toggles, 12 extended row-grouping options, pivotMode, total rows, suppressAggFuncInHeader.</t>
        </is>
      </c>
      <c r="G58" s="2" t="inlineStr">
        <is>
          <t>1. Group display type select
2. groupDefaultExpanded stepper (-1 = all expanded)
3. 4-way visibility-change suppression
4. pivotMode + pivotPanelShow
5. grandTotalRow / groupTotalRow position</t>
        </is>
      </c>
      <c r="H58" s="2" t="n">
        <v>5</v>
      </c>
      <c r="I58" s="2" t="inlineStr">
        <is>
          <t>Medium</t>
        </is>
      </c>
      <c r="J58" s="2" t="inlineStr">
        <is>
          <t>packages/react/widgets/grid-react/src/modules/general-settings</t>
        </is>
      </c>
      <c r="K58" s="4" t="inlineStr">
        <is>
          <t>Done</t>
        </is>
      </c>
    </row>
    <row r="59" ht="62" customHeight="1">
      <c r="A59" s="3" t="inlineStr">
        <is>
          <t>Story</t>
        </is>
      </c>
      <c r="B59" s="3" t="inlineStr">
        <is>
          <t>MG-58</t>
        </is>
      </c>
      <c r="C59" s="3" t="inlineStr">
        <is>
          <t>MG-E14</t>
        </is>
      </c>
      <c r="D59" s="3" t="inlineStr">
        <is>
          <t>Grid Options Settings Panel (general-settings)</t>
        </is>
      </c>
      <c r="E59" s="3" t="inlineStr">
        <is>
          <t>Filter / sort / clipboard band</t>
        </is>
      </c>
      <c r="F59" s="3" t="inlineStr">
        <is>
          <t>enableAdvancedFilter, includeHiddenColumnsInQuickFilter, multi-sort compound mode, accentedSort, copyHeadersToClipboard, clipboardDelimiter.</t>
        </is>
      </c>
      <c r="G59" s="3" t="inlineStr">
        <is>
          <t>1. Compound multi-sort mode maps to suppressMultiSort + alwaysMultiSort + multiSortKey
2. Advanced + quick filter flags persist
3. clipboardDelimiter (tab/comma/pipe/custom)
4. accentedSort visible only when sort enabled</t>
        </is>
      </c>
      <c r="H59" s="3" t="n">
        <v>3</v>
      </c>
      <c r="I59" s="3" t="inlineStr">
        <is>
          <t>Medium</t>
        </is>
      </c>
      <c r="J59" s="3" t="inlineStr">
        <is>
          <t>packages/react/widgets/grid-react/src/modules/general-settings</t>
        </is>
      </c>
      <c r="K59" s="4" t="inlineStr">
        <is>
          <t>Done</t>
        </is>
      </c>
    </row>
    <row r="60" ht="76" customHeight="1">
      <c r="A60" s="2" t="inlineStr">
        <is>
          <t>Story</t>
        </is>
      </c>
      <c r="B60" s="2" t="inlineStr">
        <is>
          <t>MG-59</t>
        </is>
      </c>
      <c r="C60" s="2" t="inlineStr">
        <is>
          <t>MG-E14</t>
        </is>
      </c>
      <c r="D60" s="2" t="inlineStr">
        <is>
          <t>Grid Options Settings Panel (general-settings)</t>
        </is>
      </c>
      <c r="E60" s="2" t="inlineStr">
        <is>
          <t>Editing / interaction band</t>
        </is>
      </c>
      <c r="F60" s="2" t="inlineStr">
        <is>
          <t>singleClickEdit, stopEditingWhenCellsLoseFocus, Enter navigation, undoRedoCellEditing + limit, tooltipShowDelay/Mode, styling toggles.</t>
        </is>
      </c>
      <c r="G60" s="2" t="inlineStr">
        <is>
          <t>1. Compound Enter navigation: vertical + after-edit
2. undoRedoCellEditingLimit gated by enable flag
3. Tooltip show-mode standard/whenTruncated
4. tooltipShowDelay accepts ms
5. Styling toggles persisted</t>
        </is>
      </c>
      <c r="H60" s="2" t="n">
        <v>3</v>
      </c>
      <c r="I60" s="2" t="inlineStr">
        <is>
          <t>Medium</t>
        </is>
      </c>
      <c r="J60" s="2" t="inlineStr">
        <is>
          <t>packages/react/widgets/grid-react/src/modules/general-settings</t>
        </is>
      </c>
      <c r="K60" s="4" t="inlineStr">
        <is>
          <t>Done</t>
        </is>
      </c>
    </row>
    <row r="61" ht="104" customHeight="1">
      <c r="A61" s="3" t="inlineStr">
        <is>
          <t>Story</t>
        </is>
      </c>
      <c r="B61" s="3" t="inlineStr">
        <is>
          <t>MG-60</t>
        </is>
      </c>
      <c r="C61" s="3" t="inlineStr">
        <is>
          <t>MG-E14</t>
        </is>
      </c>
      <c r="D61" s="3" t="inlineStr">
        <is>
          <t>Grid Options Settings Panel (general-settings)</t>
        </is>
      </c>
      <c r="E61" s="3" t="inlineStr">
        <is>
          <t>Default colDef band (7 subsections)</t>
        </is>
      </c>
      <c r="F61" s="3" t="inlineStr">
        <is>
          <t>SIZING / SORT+FILTER / EDITING / HEADER / MOVEMENT+LOCKING / CELL CONTENT / GROUPING+PIVOT+VALUES feeding defaultColDef.</t>
        </is>
      </c>
      <c r="G61" s="3" t="inlineStr">
        <is>
          <t>1. SIZING: resizable/minWidth/maxWidth/width/flex/suppressSizeToFit/suppressAutoSize
2. SORT &amp; FILTER: sortable/filter/unSortIcon/floatingFilter
3. EDITING: editable/suppressPaste/suppressNavigable
4. HEADER: wrapHeaderText/autoHeaderHeight/suppressHeaderMenuButton
5. MOVEMENT &amp; LOCKING: suppressMovable/lockPosition/lockVisible/lockPinned
6. CELL CONTENT: wrapText/autoHeight/enableCellChangeFlash
7. GROUPING/PIVOT/VALUES: enableRowGroup/enablePivot/enableValue</t>
        </is>
      </c>
      <c r="H61" s="3" t="n">
        <v>5</v>
      </c>
      <c r="I61" s="3" t="inlineStr">
        <is>
          <t>Medium</t>
        </is>
      </c>
      <c r="J61" s="3" t="inlineStr">
        <is>
          <t>packages/react/widgets/grid-react/src/modules/general-settings</t>
        </is>
      </c>
      <c r="K61" s="4" t="inlineStr">
        <is>
          <t>Done</t>
        </is>
      </c>
    </row>
    <row r="62" ht="62" customHeight="1">
      <c r="A62" s="2" t="inlineStr">
        <is>
          <t>Story</t>
        </is>
      </c>
      <c r="B62" s="2" t="inlineStr">
        <is>
          <t>MG-61</t>
        </is>
      </c>
      <c r="C62" s="2" t="inlineStr">
        <is>
          <t>MG-E14</t>
        </is>
      </c>
      <c r="D62" s="2" t="inlineStr">
        <is>
          <t>Grid Options Settings Panel (general-settings)</t>
        </is>
      </c>
      <c r="E62" s="2" t="inlineStr">
        <is>
          <t>Sidebar + status bar bands</t>
        </is>
      </c>
      <c r="F62" s="2" t="inlineStr">
        <is>
          <t>Sidebar visibility + per-panel toggles + default panel. Status bar visibility + per-panel options.</t>
        </is>
      </c>
      <c r="G62" s="2" t="inlineStr">
        <is>
          <t>1. Sidebar toggle + per-panel (columns/filters/custom)
2. Default panel select among enabled
3. Status bar per-panel toggles (aggregation/count/filtered/selected/total)
4. Round-trips through serialize/deserialize</t>
        </is>
      </c>
      <c r="H62" s="2" t="n">
        <v>3</v>
      </c>
      <c r="I62" s="2" t="inlineStr">
        <is>
          <t>Medium</t>
        </is>
      </c>
      <c r="J62" s="2" t="inlineStr">
        <is>
          <t>packages/react/widgets/grid-react/src/modules/general-settings</t>
        </is>
      </c>
      <c r="K62" s="4" t="inlineStr">
        <is>
          <t>Done</t>
        </is>
      </c>
    </row>
    <row r="63" ht="76" customHeight="1">
      <c r="A63" s="3" t="inlineStr">
        <is>
          <t>Story</t>
        </is>
      </c>
      <c r="B63" s="3" t="inlineStr">
        <is>
          <t>MG-62</t>
        </is>
      </c>
      <c r="C63" s="3" t="inlineStr">
        <is>
          <t>MG-E15</t>
        </is>
      </c>
      <c r="D63" s="3" t="inlineStr">
        <is>
          <t>Expression Engine &amp; Monaco Editor</t>
        </is>
      </c>
      <c r="E63" s="3" t="inlineStr">
        <is>
          <t>Tokenizer + parser + Evaluator (CSP-safe)</t>
        </is>
      </c>
      <c r="F63" s="3" t="inlineStr">
        <is>
          <t>Vanilla-TS engine: tokenize → parse (AST) → Evaluator. No new Function.</t>
        </is>
      </c>
      <c r="G63" s="3" t="inlineStr">
        <is>
          <t>1. tokenize() produces typed tokens
2. parse() returns AST; reports syntax errors with line/col
3. Evaluator walks AST against {value, x, data, columns, allRows}
4. No eval / new Function (CSP-safe)
5. ExpressionEngine.compile(expr) returns reusable evaluator</t>
        </is>
      </c>
      <c r="H63" s="3" t="n">
        <v>8</v>
      </c>
      <c r="I63" s="3" t="inlineStr">
        <is>
          <t>High</t>
        </is>
      </c>
      <c r="J63" s="3" t="inlineStr">
        <is>
          <t>packages/shared/core/src/expression, grid-react/src/ui/ExpressionEditor</t>
        </is>
      </c>
      <c r="K63" s="4" t="inlineStr">
        <is>
          <t>Done</t>
        </is>
      </c>
    </row>
    <row r="64" ht="76" customHeight="1">
      <c r="A64" s="2" t="inlineStr">
        <is>
          <t>Story</t>
        </is>
      </c>
      <c r="B64" s="2" t="inlineStr">
        <is>
          <t>MG-63</t>
        </is>
      </c>
      <c r="C64" s="2" t="inlineStr">
        <is>
          <t>MG-E15</t>
        </is>
      </c>
      <c r="D64" s="2" t="inlineStr">
        <is>
          <t>Expression Engine &amp; Monaco Editor</t>
        </is>
      </c>
      <c r="E64" s="2" t="inlineStr">
        <is>
          <t>Built-in functions (math/agg/stats/string/date/logic)</t>
        </is>
      </c>
      <c r="F64" s="2" t="inlineStr">
        <is>
          <t>40+ built-in functions across categories.</t>
        </is>
      </c>
      <c r="G64" s="2" t="inlineStr">
        <is>
          <t>1. Each function documented with arg + return types
2. DATE_DIFF units: days/d, hours/h, minutes/m, seconds/s
3. DATE_ADD units: days/d, months/mo, years/y, hours/h
4. Aggs over allRows cached per (api, colId, generation)
5. Logic funcs short-circuit</t>
        </is>
      </c>
      <c r="H64" s="2" t="n">
        <v>8</v>
      </c>
      <c r="I64" s="2" t="inlineStr">
        <is>
          <t>High</t>
        </is>
      </c>
      <c r="J64" s="2" t="inlineStr">
        <is>
          <t>packages/shared/core/src/expression, grid-react/src/ui/ExpressionEditor</t>
        </is>
      </c>
      <c r="K64" s="4" t="inlineStr">
        <is>
          <t>Done</t>
        </is>
      </c>
    </row>
    <row r="65" ht="62" customHeight="1">
      <c r="A65" s="3" t="inlineStr">
        <is>
          <t>Story</t>
        </is>
      </c>
      <c r="B65" s="3" t="inlineStr">
        <is>
          <t>MG-64</t>
        </is>
      </c>
      <c r="C65" s="3" t="inlineStr">
        <is>
          <t>MG-E15</t>
        </is>
      </c>
      <c r="D65" s="3" t="inlineStr">
        <is>
          <t>Expression Engine &amp; Monaco Editor</t>
        </is>
      </c>
      <c r="E65" s="3" t="inlineStr">
        <is>
          <t>tryCompileToAgString fast path</t>
        </is>
      </c>
      <c r="F65" s="3" t="inlineStr">
        <is>
          <t>Optimize simple templates to AG-Grid value-formatter strings; fall back to evaluator otherwise.</t>
        </is>
      </c>
      <c r="G65" s="3" t="inlineStr">
        <is>
          <t>1. tryCompileToAgString(template) returns string when expressible
2. Returns null otherwise; AG-Grid uses fast string path
3. Complex expressions fall back to ExpressionEngine
4. Results identical between paths</t>
        </is>
      </c>
      <c r="H65" s="3" t="n">
        <v>3</v>
      </c>
      <c r="I65" s="3" t="inlineStr">
        <is>
          <t>Medium</t>
        </is>
      </c>
      <c r="J65" s="3" t="inlineStr">
        <is>
          <t>packages/shared/core/src/expression, grid-react/src/ui/ExpressionEditor</t>
        </is>
      </c>
      <c r="K65" s="4" t="inlineStr">
        <is>
          <t>Done</t>
        </is>
      </c>
    </row>
    <row r="66" ht="62" customHeight="1">
      <c r="A66" s="2" t="inlineStr">
        <is>
          <t>Story</t>
        </is>
      </c>
      <c r="B66" s="2" t="inlineStr">
        <is>
          <t>MG-65</t>
        </is>
      </c>
      <c r="C66" s="2" t="inlineStr">
        <is>
          <t>MG-E15</t>
        </is>
      </c>
      <c r="D66" s="2" t="inlineStr">
        <is>
          <t>Expression Engine &amp; Monaco Editor</t>
        </is>
      </c>
      <c r="E66" s="2" t="inlineStr">
        <is>
          <t>Migration: v1 → v2 expression syntax</t>
        </is>
      </c>
      <c r="F66" s="2" t="inlineStr">
        <is>
          <t>migrateExpressionSyntax + migrateExpressionsInObject upgrade legacy expressions during import.</t>
        </is>
      </c>
      <c r="G66" s="2" t="inlineStr">
        <is>
          <t>1. Old syntax recognized and rewritten
2. Migration runs in ProfileManager.import and per-module migrate()
3. Already-current pass through unchanged
4. Failed migrations logged but don't crash import</t>
        </is>
      </c>
      <c r="H66" s="2" t="n">
        <v>3</v>
      </c>
      <c r="I66" s="2" t="inlineStr">
        <is>
          <t>Medium</t>
        </is>
      </c>
      <c r="J66" s="2" t="inlineStr">
        <is>
          <t>packages/shared/core/src/expression, grid-react/src/ui/ExpressionEditor</t>
        </is>
      </c>
      <c r="K66" s="4" t="inlineStr">
        <is>
          <t>Done</t>
        </is>
      </c>
    </row>
    <row r="67" ht="90" customHeight="1">
      <c r="A67" s="3" t="inlineStr">
        <is>
          <t>Story</t>
        </is>
      </c>
      <c r="B67" s="3" t="inlineStr">
        <is>
          <t>MG-66</t>
        </is>
      </c>
      <c r="C67" s="3" t="inlineStr">
        <is>
          <t>MG-E15</t>
        </is>
      </c>
      <c r="D67" s="3" t="inlineStr">
        <is>
          <t>Expression Engine &amp; Monaco Editor</t>
        </is>
      </c>
      <c r="E67" s="3" t="inlineStr">
        <is>
          <t>Monaco editor shell (completions, diagnostics, palette, popout)</t>
        </is>
      </c>
      <c r="F67" s="3" t="inlineStr">
        <is>
          <t>ExpressionEditor (Monaco) with column/function autocomplete, diagnostics, palette, popout bridge, fallback.</t>
        </is>
      </c>
      <c r="G67" s="3" t="inlineStr">
        <is>
          <t>1. Column + function names in autocomplete
2. Parse errors underlined with hover message
3. Shift+Enter commits; Escape cancels
4. Palette menu inserts function/column at caret
5. Popout-safe keyboard routing
6. FallbackInput when Monaco fails to load</t>
        </is>
      </c>
      <c r="H67" s="3" t="n">
        <v>8</v>
      </c>
      <c r="I67" s="3" t="inlineStr">
        <is>
          <t>High</t>
        </is>
      </c>
      <c r="J67" s="3" t="inlineStr">
        <is>
          <t>packages/shared/core/src/expression, grid-react/src/ui/ExpressionEditor</t>
        </is>
      </c>
      <c r="K67" s="4" t="inlineStr">
        <is>
          <t>Done</t>
        </is>
      </c>
    </row>
    <row r="68" ht="76" customHeight="1">
      <c r="A68" s="2" t="inlineStr">
        <is>
          <t>Story</t>
        </is>
      </c>
      <c r="B68" s="2" t="inlineStr">
        <is>
          <t>MG-67</t>
        </is>
      </c>
      <c r="C68" s="2" t="inlineStr">
        <is>
          <t>MG-E16</t>
        </is>
      </c>
      <c r="D68" s="2" t="inlineStr">
        <is>
          <t>Formatter System &amp; FormatterPicker</t>
        </is>
      </c>
      <c r="E68" s="2" t="inlineStr">
        <is>
          <t>ValueFormatterTemplate kinds</t>
        </is>
      </c>
      <c r="F68" s="2" t="inlineStr">
        <is>
          <t>Discriminated union: preset / excelFormat / expression / tick.</t>
        </is>
      </c>
      <c r="G68" s="2" t="inlineStr">
        <is>
          <t>1. preset: {kind:'preset', presetId}
2. excelFormat: {kind:'excelFormat', format}
3. expression: {kind:'expression', expression} (CSP-gated)
4. tick: {kind:'tick', tick: TickToken}
5. valueFormatterFromTemplate(template) yields fn</t>
        </is>
      </c>
      <c r="H68" s="2" t="n">
        <v>5</v>
      </c>
      <c r="I68" s="2" t="inlineStr">
        <is>
          <t>High</t>
        </is>
      </c>
      <c r="J68" s="2" t="inlineStr">
        <is>
          <t>packages/react/widgets/grid-react/src/ui/FormatterPicker</t>
        </is>
      </c>
      <c r="K68" s="4" t="inlineStr">
        <is>
          <t>Done</t>
        </is>
      </c>
    </row>
    <row r="69" ht="76" customHeight="1">
      <c r="A69" s="3" t="inlineStr">
        <is>
          <t>Story</t>
        </is>
      </c>
      <c r="B69" s="3" t="inlineStr">
        <is>
          <t>MG-68</t>
        </is>
      </c>
      <c r="C69" s="3" t="inlineStr">
        <is>
          <t>MG-E16</t>
        </is>
      </c>
      <c r="D69" s="3" t="inlineStr">
        <is>
          <t>Formatter System &amp; FormatterPicker</t>
        </is>
      </c>
      <c r="E69" s="3" t="inlineStr">
        <is>
          <t>Preset catalogue: number / currency / percent / bps</t>
        </is>
      </c>
      <c r="F69" s="3" t="inlineStr">
        <is>
          <t>num-* / cur-* USD/EUR/GBP/JPY/INR / pct-* with green-red variants.</t>
        </is>
      </c>
      <c r="G69" s="3" t="inlineStr">
        <is>
          <t>1. Each preset has stable id, label, hint, template, sampleValue
2. JPY default 0 decimals; SSF-quoted for GBP/INR
3. Green-red presets colorize without sign
4. Sample values render correctly in dropdown
5. Decimals up/down quick adjusters</t>
        </is>
      </c>
      <c r="H69" s="3" t="n">
        <v>5</v>
      </c>
      <c r="I69" s="3" t="inlineStr">
        <is>
          <t>Medium</t>
        </is>
      </c>
      <c r="J69" s="3" t="inlineStr">
        <is>
          <t>packages/react/widgets/grid-react/src/ui/FormatterPicker</t>
        </is>
      </c>
      <c r="K69" s="4" t="inlineStr">
        <is>
          <t>Done</t>
        </is>
      </c>
    </row>
    <row r="70" ht="62" customHeight="1">
      <c r="A70" s="2" t="inlineStr">
        <is>
          <t>Story</t>
        </is>
      </c>
      <c r="B70" s="2" t="inlineStr">
        <is>
          <t>MG-69</t>
        </is>
      </c>
      <c r="C70" s="2" t="inlineStr">
        <is>
          <t>MG-E16</t>
        </is>
      </c>
      <c r="D70" s="2" t="inlineStr">
        <is>
          <t>Formatter System &amp; FormatterPicker</t>
        </is>
      </c>
      <c r="E70" s="2" t="inlineStr">
        <is>
          <t>Bond tick presets (32nds/64ths/128ths/256ths)</t>
        </is>
      </c>
      <c r="F70" s="2" t="inlineStr">
        <is>
          <t>tick-32, tick-32-plus, tick-64, tick-128, tick-256; TickToken constants.</t>
        </is>
      </c>
      <c r="G70" s="2" t="inlineStr">
        <is>
          <t>1. Renders price in fractional notation (e.g. 100-04 = 100 + 4/32)
2. tick-32-plus supports half-tick (+) suffix
3. tick-64/128/256 render at correct resolution
4. TickToken constants reusable</t>
        </is>
      </c>
      <c r="H70" s="2" t="n">
        <v>3</v>
      </c>
      <c r="I70" s="2" t="inlineStr">
        <is>
          <t>Medium</t>
        </is>
      </c>
      <c r="J70" s="2" t="inlineStr">
        <is>
          <t>packages/react/widgets/grid-react/src/ui/FormatterPicker</t>
        </is>
      </c>
      <c r="K70" s="4" t="inlineStr">
        <is>
          <t>Done</t>
        </is>
      </c>
    </row>
    <row r="71" ht="62" customHeight="1">
      <c r="A71" s="3" t="inlineStr">
        <is>
          <t>Story</t>
        </is>
      </c>
      <c r="B71" s="3" t="inlineStr">
        <is>
          <t>MG-70</t>
        </is>
      </c>
      <c r="C71" s="3" t="inlineStr">
        <is>
          <t>MG-E16</t>
        </is>
      </c>
      <c r="D71" s="3" t="inlineStr">
        <is>
          <t>Formatter System &amp; FormatterPicker</t>
        </is>
      </c>
      <c r="E71" s="3" t="inlineStr">
        <is>
          <t>Date / datetime / string / boolean presets</t>
        </is>
      </c>
      <c r="F71" s="3" t="inlineStr">
        <is>
          <t>date-* / dt-* / str-* / bool-*.</t>
        </is>
      </c>
      <c r="G71" s="3" t="inlineStr">
        <is>
          <t>1. Date presets: ISO/US/EU/long
2. DateTime presets include time variants
3. String suffix-units (e.g. '5 ms')
4. Boolean presets: Y/N, Yes/No, check icon</t>
        </is>
      </c>
      <c r="H71" s="3" t="n">
        <v>3</v>
      </c>
      <c r="I71" s="3" t="inlineStr">
        <is>
          <t>Medium</t>
        </is>
      </c>
      <c r="J71" s="3" t="inlineStr">
        <is>
          <t>packages/react/widgets/grid-react/src/ui/FormatterPicker</t>
        </is>
      </c>
      <c r="K71" s="4" t="inlineStr">
        <is>
          <t>Done</t>
        </is>
      </c>
    </row>
    <row r="72" ht="76" customHeight="1">
      <c r="A72" s="2" t="inlineStr">
        <is>
          <t>Story</t>
        </is>
      </c>
      <c r="B72" s="2" t="inlineStr">
        <is>
          <t>MG-71</t>
        </is>
      </c>
      <c r="C72" s="2" t="inlineStr">
        <is>
          <t>MG-E16</t>
        </is>
      </c>
      <c r="D72" s="2" t="inlineStr">
        <is>
          <t>Formatter System &amp; FormatterPicker</t>
        </is>
      </c>
      <c r="E72" s="2" t="inlineStr">
        <is>
          <t>FormatterPicker UI + Excel reference + custom Excel format</t>
        </is>
      </c>
      <c r="F72" s="2" t="inlineStr">
        <is>
          <t>Grouped dropdown; live sample; Excel reference popover; custom Excel-style format input.</t>
        </is>
      </c>
      <c r="G72" s="2" t="inlineStr">
        <is>
          <t>1. Presets grouped by category; inferPickerDataType pre-filters
2. Sample preview live
3. Custom Excel format input via excelFormat kind
4. Excel reference popover (2-col table)
5. Expression option visible only when policy != strict</t>
        </is>
      </c>
      <c r="H72" s="2" t="n">
        <v>5</v>
      </c>
      <c r="I72" s="2" t="inlineStr">
        <is>
          <t>High</t>
        </is>
      </c>
      <c r="J72" s="2" t="inlineStr">
        <is>
          <t>packages/react/widgets/grid-react/src/ui/FormatterPicker</t>
        </is>
      </c>
      <c r="K72" s="4" t="inlineStr">
        <is>
          <t>Done</t>
        </is>
      </c>
    </row>
    <row r="73" ht="104" customHeight="1">
      <c r="A73" s="3" t="inlineStr">
        <is>
          <t>Story</t>
        </is>
      </c>
      <c r="B73" s="3" t="inlineStr">
        <is>
          <t>MG-72</t>
        </is>
      </c>
      <c r="C73" s="3" t="inlineStr">
        <is>
          <t>MG-E17</t>
        </is>
      </c>
      <c r="D73" s="3" t="inlineStr">
        <is>
          <t>Settings Drawer &amp; Cockpit UI Primitives</t>
        </is>
      </c>
      <c r="E73" s="3" t="inlineStr">
        <is>
          <t>SettingsSheet 3-column poppable drawer</t>
        </is>
      </c>
      <c r="F73" s="3" t="inlineStr">
        <is>
          <t>Module rail / items list / editor pane; inline + popout; back-compat testids; dirty-count header; help cheatsheet.</t>
        </is>
      </c>
      <c r="G73" s="3" t="inlineStr">
        <is>
          <t>1. Left rail buttons activate panels
2. Modules with master-detail render ListPane + EditorPane; flat modules render SettingsPanel
3. Title bar shows version, layout status, dirty count, maximize/minimize/close
4. PANEL_TESTID_BY_MODULE_ID preserved for e2e
5. Help cheatsheet toggles via ?
6. Dialog portals respect popout context
7. Esc / Ctrl+Enter close</t>
        </is>
      </c>
      <c r="H73" s="3" t="n">
        <v>8</v>
      </c>
      <c r="I73" s="3" t="inlineStr">
        <is>
          <t>High</t>
        </is>
      </c>
      <c r="J73" s="3" t="inlineStr">
        <is>
          <t>packages/react/widgets/grid-react/src/ui/SettingsPanel + StyleEditor</t>
        </is>
      </c>
      <c r="K73" s="4" t="inlineStr">
        <is>
          <t>Done</t>
        </is>
      </c>
    </row>
    <row r="74" ht="76" customHeight="1">
      <c r="A74" s="2" t="inlineStr">
        <is>
          <t>Story</t>
        </is>
      </c>
      <c r="B74" s="2" t="inlineStr">
        <is>
          <t>MG-73</t>
        </is>
      </c>
      <c r="C74" s="2" t="inlineStr">
        <is>
          <t>MG-E17</t>
        </is>
      </c>
      <c r="D74" s="2" t="inlineStr">
        <is>
          <t>Settings Drawer &amp; Cockpit UI Primitives</t>
        </is>
      </c>
      <c r="E74" s="2" t="inlineStr">
        <is>
          <t>Cockpit UI primitive kit (~25 components)</t>
        </is>
      </c>
      <c r="F74" s="2" t="inlineStr">
        <is>
          <t>PanelChrome, Band, ItemCard, PairRow, IconInput, Stepper, PillToggleGroup/Btn, SharpBtn variants, TGroup/TBtn, MetaCell, DirtyDot, LedBar, Caps, Mono, TabStrip, CockpitList.</t>
        </is>
      </c>
      <c r="G74" s="2" t="inlineStr">
        <is>
          <t>1. Each primitive exported from grid-react/src/ui/SettingsPanel
2. All consume design-system tokens; no hardcoded color/spacing
3. Light + dark parity
4. CockpitList uses cmdk
5. SharpBtn variants visually distinct</t>
        </is>
      </c>
      <c r="H74" s="2" t="n">
        <v>5</v>
      </c>
      <c r="I74" s="2" t="inlineStr">
        <is>
          <t>High</t>
        </is>
      </c>
      <c r="J74" s="2" t="inlineStr">
        <is>
          <t>packages/react/widgets/grid-react/src/ui/SettingsPanel + StyleEditor</t>
        </is>
      </c>
      <c r="K74" s="4" t="inlineStr">
        <is>
          <t>Done</t>
        </is>
      </c>
    </row>
    <row r="75" ht="76" customHeight="1">
      <c r="A75" s="3" t="inlineStr">
        <is>
          <t>Story</t>
        </is>
      </c>
      <c r="B75" s="3" t="inlineStr">
        <is>
          <t>MG-74</t>
        </is>
      </c>
      <c r="C75" s="3" t="inlineStr">
        <is>
          <t>MG-E17</t>
        </is>
      </c>
      <c r="D75" s="3" t="inlineStr">
        <is>
          <t>Settings Drawer &amp; Cockpit UI Primitives</t>
        </is>
      </c>
      <c r="E75" s="3" t="inlineStr">
        <is>
          <t>Unified &lt;StyleEditor&gt; with opt-in sections</t>
        </is>
      </c>
      <c r="F75" s="3" t="inlineStr">
        <is>
          <t>TextSection / ColorSection / BorderSection / FormatSection; sections={[…]} API.</t>
        </is>
      </c>
      <c r="G75" s="3" t="inlineStr">
        <is>
          <t>1. Renders sections in declared order
2. sections={['text','color']} hides border + format
3. Each section drives slice of StyleEditorValue
4. ColorSection uses compact ColorPicker popover
5. BorderSection uses BorderSidesEditor with all side/style modes</t>
        </is>
      </c>
      <c r="H75" s="3" t="n">
        <v>5</v>
      </c>
      <c r="I75" s="3" t="inlineStr">
        <is>
          <t>High</t>
        </is>
      </c>
      <c r="J75" s="3" t="inlineStr">
        <is>
          <t>packages/react/widgets/grid-react/src/ui/SettingsPanel + StyleEditor</t>
        </is>
      </c>
      <c r="K75" s="4" t="inlineStr">
        <is>
          <t>Done</t>
        </is>
      </c>
    </row>
    <row r="76" ht="62" customHeight="1">
      <c r="A76" s="2" t="inlineStr">
        <is>
          <t>Story</t>
        </is>
      </c>
      <c r="B76" s="2" t="inlineStr">
        <is>
          <t>MG-75</t>
        </is>
      </c>
      <c r="C76" s="2" t="inlineStr">
        <is>
          <t>MG-E17</t>
        </is>
      </c>
      <c r="D76" s="2" t="inlineStr">
        <is>
          <t>Settings Drawer &amp; Cockpit UI Primitives</t>
        </is>
      </c>
      <c r="E76" s="2" t="inlineStr">
        <is>
          <t>FormatPopover stack registry</t>
        </is>
      </c>
      <c r="F76" s="2" t="inlineStr">
        <is>
          <t>registerPopoverRoot + clickIsInsideAnyOpenPopover for nested popovers across documents.</t>
        </is>
      </c>
      <c r="G76" s="2" t="inlineStr">
        <is>
          <t>1. Each opened popover registers its root
2. Outside-click checks all registered roots
3. Cleanup on close
4. Works across popout windows</t>
        </is>
      </c>
      <c r="H76" s="2" t="n">
        <v>3</v>
      </c>
      <c r="I76" s="2" t="inlineStr">
        <is>
          <t>Medium</t>
        </is>
      </c>
      <c r="J76" s="2" t="inlineStr">
        <is>
          <t>packages/react/widgets/grid-react/src/ui/SettingsPanel + StyleEditor</t>
        </is>
      </c>
      <c r="K76" s="4" t="inlineStr">
        <is>
          <t>Done</t>
        </is>
      </c>
    </row>
    <row r="77" ht="90" customHeight="1">
      <c r="A77" s="3" t="inlineStr">
        <is>
          <t>Story</t>
        </is>
      </c>
      <c r="B77" s="3" t="inlineStr">
        <is>
          <t>MG-76</t>
        </is>
      </c>
      <c r="C77" s="3" t="inlineStr">
        <is>
          <t>MG-E18</t>
        </is>
      </c>
      <c r="D77" s="3" t="inlineStr">
        <is>
          <t>Formatting Toolbar</t>
        </is>
      </c>
      <c r="E77" s="3" t="inlineStr">
        <is>
          <t>FormattingToolbar with module modules + brush pill</t>
        </is>
      </c>
      <c r="F77" s="3" t="inlineStr">
        <is>
          <t>Inline + draggable popout (560x680). Context/Type/Paint/Format/Library/EditorFilter/Clear. Brush pill on filters row.</t>
        </is>
      </c>
      <c r="G77" s="3" t="inlineStr">
        <is>
          <t>1. Inline mode: second row beneath filters
2. Floating mode: 560x680 OS window (OpenFin native; browser fallback)
3. Brush pill shows pending style template; click cells to paint
4. Undo/redo via useUndoRedo
5. style-toolbar-toggle Brush pill on filters row
6. Live sample preview</t>
        </is>
      </c>
      <c r="H77" s="3" t="n">
        <v>8</v>
      </c>
      <c r="I77" s="3" t="inlineStr">
        <is>
          <t>High</t>
        </is>
      </c>
      <c r="J77" s="3" t="inlineStr">
        <is>
          <t>packages/react/widgets/markets-grid/src/FormattingToolbar.tsx, formatter/*</t>
        </is>
      </c>
      <c r="K77" s="4" t="inlineStr">
        <is>
          <t>Done</t>
        </is>
      </c>
    </row>
    <row r="78" ht="62" customHeight="1">
      <c r="A78" s="2" t="inlineStr">
        <is>
          <t>Story</t>
        </is>
      </c>
      <c r="B78" s="2" t="inlineStr">
        <is>
          <t>MG-77</t>
        </is>
      </c>
      <c r="C78" s="2" t="inlineStr">
        <is>
          <t>MG-E18</t>
        </is>
      </c>
      <c r="D78" s="2" t="inlineStr">
        <is>
          <t>Formatting Toolbar</t>
        </is>
      </c>
      <c r="E78" s="2" t="inlineStr">
        <is>
          <t>ModuleType / ModuleContext / ModuleFormat</t>
        </is>
      </c>
      <c r="F78" s="2" t="inlineStr">
        <is>
          <t>Type picks dataType. Context picks scope. Format picks formatter preset with live sample.</t>
        </is>
      </c>
      <c r="G78" s="2" t="inlineStr">
        <is>
          <t>1. Type select: text/number/date/boolean/custom
2. Context switches scope and column
3. Format wraps FormatterPicker + Excel reference
4. Live sample updates</t>
        </is>
      </c>
      <c r="H78" s="2" t="n">
        <v>3</v>
      </c>
      <c r="I78" s="2" t="inlineStr">
        <is>
          <t>High</t>
        </is>
      </c>
      <c r="J78" s="2" t="inlineStr">
        <is>
          <t>packages/react/widgets/markets-grid/src/FormattingToolbar.tsx, formatter/*</t>
        </is>
      </c>
      <c r="K78" s="4" t="inlineStr">
        <is>
          <t>Done</t>
        </is>
      </c>
    </row>
    <row r="79" ht="62" customHeight="1">
      <c r="A79" s="3" t="inlineStr">
        <is>
          <t>Story</t>
        </is>
      </c>
      <c r="B79" s="3" t="inlineStr">
        <is>
          <t>MG-78</t>
        </is>
      </c>
      <c r="C79" s="3" t="inlineStr">
        <is>
          <t>MG-E18</t>
        </is>
      </c>
      <c r="D79" s="3" t="inlineStr">
        <is>
          <t>Formatting Toolbar</t>
        </is>
      </c>
      <c r="E79" s="3" t="inlineStr">
        <is>
          <t>ModulePaint (typography / colors / alignment / borders)</t>
        </is>
      </c>
      <c r="F79" s="3" t="inlineStr">
        <is>
          <t>Wraps the four style reducers; per-side borders editor.</t>
        </is>
      </c>
      <c r="G79" s="3" t="inlineStr">
        <is>
          <t>1. Each subsection invokes its column-customization reducer
2. Borders supports all 4 sides + width/color/style
3. Color picker uses design-system swatches + custom hex
4. Applies to selected columns</t>
        </is>
      </c>
      <c r="H79" s="3" t="n">
        <v>5</v>
      </c>
      <c r="I79" s="3" t="inlineStr">
        <is>
          <t>High</t>
        </is>
      </c>
      <c r="J79" s="3" t="inlineStr">
        <is>
          <t>packages/react/widgets/markets-grid/src/FormattingToolbar.tsx, formatter/*</t>
        </is>
      </c>
      <c r="K79" s="4" t="inlineStr">
        <is>
          <t>Done</t>
        </is>
      </c>
    </row>
    <row r="80" ht="76" customHeight="1">
      <c r="A80" s="2" t="inlineStr">
        <is>
          <t>Story</t>
        </is>
      </c>
      <c r="B80" s="2" t="inlineStr">
        <is>
          <t>MG-79</t>
        </is>
      </c>
      <c r="C80" s="2" t="inlineStr">
        <is>
          <t>MG-E18</t>
        </is>
      </c>
      <c r="D80" s="2" t="inlineStr">
        <is>
          <t>Formatting Toolbar</t>
        </is>
      </c>
      <c r="E80" s="2" t="inlineStr">
        <is>
          <t>ModuleLibrary (template management)</t>
        </is>
      </c>
      <c r="F80" s="2" t="inlineStr">
        <is>
          <t>Create / load / delete / import / export style templates via column-templates module.</t>
        </is>
      </c>
      <c r="G80" s="2" t="inlineStr">
        <is>
          <t>1. List with name + actions per template
2. Create captures via snapshotTemplate
3. Apply pushes templateId to selected columns
4. Import/export via JSON
5. Delete cleans up references</t>
        </is>
      </c>
      <c r="H80" s="2" t="n">
        <v>5</v>
      </c>
      <c r="I80" s="2" t="inlineStr">
        <is>
          <t>Medium</t>
        </is>
      </c>
      <c r="J80" s="2" t="inlineStr">
        <is>
          <t>packages/react/widgets/markets-grid/src/FormattingToolbar.tsx, formatter/*</t>
        </is>
      </c>
      <c r="K80" s="4" t="inlineStr">
        <is>
          <t>Done</t>
        </is>
      </c>
    </row>
    <row r="81" ht="76" customHeight="1">
      <c r="A81" s="3" t="inlineStr">
        <is>
          <t>Story</t>
        </is>
      </c>
      <c r="B81" s="3" t="inlineStr">
        <is>
          <t>MG-80</t>
        </is>
      </c>
      <c r="C81" s="3" t="inlineStr">
        <is>
          <t>MG-E18</t>
        </is>
      </c>
      <c r="D81" s="3" t="inlineStr">
        <is>
          <t>Formatting Toolbar</t>
        </is>
      </c>
      <c r="E81" s="3" t="inlineStr">
        <is>
          <t>ModuleEditorFilter + ModuleClear</t>
        </is>
      </c>
      <c r="F81" s="3" t="inlineStr">
        <is>
          <t>EditorFilter sets cell-editor kind + valuesSource. Clear nukes selected or all styles.</t>
        </is>
      </c>
      <c r="G81" s="3" t="inlineStr">
        <is>
          <t>1. Editor kind: text/number/date/dropdown/checkbox/autocomplete/large-text/popup
2. valuesSource binding accepts {{provider.key}}
3. Clear-selected wipes style for picked columns
4. Clear-all guarded by AlertDialog
5. Each emits single undoable action</t>
        </is>
      </c>
      <c r="H81" s="3" t="n">
        <v>3</v>
      </c>
      <c r="I81" s="3" t="inlineStr">
        <is>
          <t>Medium</t>
        </is>
      </c>
      <c r="J81" s="3" t="inlineStr">
        <is>
          <t>packages/react/widgets/markets-grid/src/FormattingToolbar.tsx, formatter/*</t>
        </is>
      </c>
      <c r="K81" s="4" t="inlineStr">
        <is>
          <t>Done</t>
        </is>
      </c>
    </row>
    <row r="82" ht="76" customHeight="1">
      <c r="A82" s="2" t="inlineStr">
        <is>
          <t>Story</t>
        </is>
      </c>
      <c r="B82" s="2" t="inlineStr">
        <is>
          <t>MG-81</t>
        </is>
      </c>
      <c r="C82" s="2" t="inlineStr">
        <is>
          <t>MG-E18</t>
        </is>
      </c>
      <c r="D82" s="2" t="inlineStr">
        <is>
          <t>Formatting Toolbar</t>
        </is>
      </c>
      <c r="E82" s="2" t="inlineStr">
        <is>
          <t>DraggableFloat + undo/redo stack</t>
        </is>
      </c>
      <c r="F82" s="2" t="inlineStr">
        <is>
          <t>DraggableFloat for popout; HistoryStack drives undo/redo.</t>
        </is>
      </c>
      <c r="G82" s="2" t="inlineStr">
        <is>
          <t>1. Reducer dispatch pushes onto HistoryStack
2. Undo/redo buttons reflect canUndo/canRedo
3. Stack capped (default 50)
4. DraggableFloat: drag + resize + alwaysOnTop in OpenFin
5. Float position persists per session</t>
        </is>
      </c>
      <c r="H82" s="2" t="n">
        <v>5</v>
      </c>
      <c r="I82" s="2" t="inlineStr">
        <is>
          <t>Medium</t>
        </is>
      </c>
      <c r="J82" s="2" t="inlineStr">
        <is>
          <t>packages/react/widgets/markets-grid/src/FormattingToolbar.tsx, formatter/*</t>
        </is>
      </c>
      <c r="K82" s="4" t="inlineStr">
        <is>
          <t>Done</t>
        </is>
      </c>
    </row>
    <row r="83" ht="62" customHeight="1">
      <c r="A83" s="3" t="inlineStr">
        <is>
          <t>Story</t>
        </is>
      </c>
      <c r="B83" s="3" t="inlineStr">
        <is>
          <t>MG-82</t>
        </is>
      </c>
      <c r="C83" s="3" t="inlineStr">
        <is>
          <t>MG-E19</t>
        </is>
      </c>
      <c r="D83" s="3" t="inlineStr">
        <is>
          <t>Filter Pills Bar</t>
        </is>
      </c>
      <c r="E83" s="3" t="inlineStr">
        <is>
          <t>Pill carousel with row-count badges</t>
        </is>
      </c>
      <c r="F83" s="3" t="inlineStr">
        <is>
          <t>Each pill shows label + match-count badge recomputed on grid events.</t>
        </is>
      </c>
      <c r="G83" s="3" t="inlineStr">
        <is>
          <t>1. Badge re-computes on filterChanged/modelUpdated/rowDataUpdated
2. Click pill toggles active flag
3. Inactive pills visually dimmed
4. Tooltip on pill shows pretty-printed model summary</t>
        </is>
      </c>
      <c r="H83" s="3" t="n">
        <v>5</v>
      </c>
      <c r="I83" s="3" t="inlineStr">
        <is>
          <t>High</t>
        </is>
      </c>
      <c r="J83" s="3" t="inlineStr">
        <is>
          <t>packages/react/widgets/markets-grid/src/FiltersToolbar.tsx, filtersToolbarLogic.ts</t>
        </is>
      </c>
      <c r="K83" s="4" t="inlineStr">
        <is>
          <t>Done</t>
        </is>
      </c>
    </row>
    <row r="84" ht="76" customHeight="1">
      <c r="A84" s="2" t="inlineStr">
        <is>
          <t>Story</t>
        </is>
      </c>
      <c r="B84" s="2" t="inlineStr">
        <is>
          <t>MG-83</t>
        </is>
      </c>
      <c r="C84" s="2" t="inlineStr">
        <is>
          <t>MG-E19</t>
        </is>
      </c>
      <c r="D84" s="2" t="inlineStr">
        <is>
          <t>Filter Pills Bar</t>
        </is>
      </c>
      <c r="E84" s="2" t="inlineStr">
        <is>
          <t>Add / clear / rename / delete pill actions</t>
        </is>
      </c>
      <c r="F84" s="2" t="inlineStr">
        <is>
          <t>+ delta-aware; inline rename; trash deletes; clear-all guarded; filter sanitization.</t>
        </is>
      </c>
      <c r="G84" s="2" t="inlineStr">
        <is>
          <t>1. + enabled only when current filter differs from any saved (isNewFilter)
2. Auto-generated label; inline rename
3. Delete fires immediately (no undo)
4. Clear-all clears all active + live filter
5. Filter sanitization drops malformed set-filter entries</t>
        </is>
      </c>
      <c r="H84" s="2" t="n">
        <v>5</v>
      </c>
      <c r="I84" s="2" t="inlineStr">
        <is>
          <t>High</t>
        </is>
      </c>
      <c r="J84" s="2" t="inlineStr">
        <is>
          <t>packages/react/widgets/markets-grid/src/FiltersToolbar.tsx, filtersToolbarLogic.ts</t>
        </is>
      </c>
      <c r="K84" s="4" t="inlineStr">
        <is>
          <t>Done</t>
        </is>
      </c>
    </row>
    <row r="85" ht="76" customHeight="1">
      <c r="A85" s="3" t="inlineStr">
        <is>
          <t>Story</t>
        </is>
      </c>
      <c r="B85" s="3" t="inlineStr">
        <is>
          <t>MG-84</t>
        </is>
      </c>
      <c r="C85" s="3" t="inlineStr">
        <is>
          <t>MG-E19</t>
        </is>
      </c>
      <c r="D85" s="3" t="inlineStr">
        <is>
          <t>Filter Pills Bar</t>
        </is>
      </c>
      <c r="E85" s="3" t="inlineStr">
        <is>
          <t>Underlying filter JSON edit popover</t>
        </is>
      </c>
      <c r="F85" s="3" t="inlineStr">
        <is>
          <t>Per-pill 'edit raw' popover surfacing filter model JSON for advanced edits.</t>
        </is>
      </c>
      <c r="G85" s="3" t="inlineStr">
        <is>
          <t>1. Per-pill 'Edit JSON' menu opens popover with JSON editor
2. Save validates parseability + structural shape
3. Cancel discards edits
4. Edit triggers badge re-count
5. Invalid JSON shows inline error</t>
        </is>
      </c>
      <c r="H85" s="3" t="n">
        <v>3</v>
      </c>
      <c r="I85" s="3" t="inlineStr">
        <is>
          <t>Medium</t>
        </is>
      </c>
      <c r="J85" s="3" t="inlineStr">
        <is>
          <t>packages/react/widgets/markets-grid/src/FiltersToolbar.tsx, filtersToolbarLogic.ts</t>
        </is>
      </c>
      <c r="K85" s="5" t="inlineStr">
        <is>
          <t>Not Started</t>
        </is>
      </c>
    </row>
    <row r="86" ht="76" customHeight="1">
      <c r="A86" s="2" t="inlineStr">
        <is>
          <t>Story</t>
        </is>
      </c>
      <c r="B86" s="2" t="inlineStr">
        <is>
          <t>MG-85</t>
        </is>
      </c>
      <c r="C86" s="2" t="inlineStr">
        <is>
          <t>MG-E19</t>
        </is>
      </c>
      <c r="D86" s="2" t="inlineStr">
        <is>
          <t>Filter Pills Bar</t>
        </is>
      </c>
      <c r="E86" s="2" t="inlineStr">
        <is>
          <t>Carousel collapse summary + horizontal scroll arrows</t>
        </is>
      </c>
      <c r="F86" s="2" t="inlineStr">
        <is>
          <t>Collapse into summary chip; horizontal scroll arrow buttons for overflow.</t>
        </is>
      </c>
      <c r="G86" s="2" t="inlineStr">
        <is>
          <t>1. Collapse button toggles visible flag in toolbar-visibility
2. Summary chip shows 'N filters · M active'
3. Horizontal scroll arrows appear when pills overflow
4. Sticky add / clear-all cluster remains accessible
5. State survives layout reload</t>
        </is>
      </c>
      <c r="H86" s="2" t="n">
        <v>3</v>
      </c>
      <c r="I86" s="2" t="inlineStr">
        <is>
          <t>Medium</t>
        </is>
      </c>
      <c r="J86" s="2" t="inlineStr">
        <is>
          <t>packages/react/widgets/markets-grid/src/FiltersToolbar.tsx, filtersToolbarLogic.ts</t>
        </is>
      </c>
      <c r="K86" s="6" t="inlineStr">
        <is>
          <t>In Progress</t>
        </is>
      </c>
    </row>
    <row r="87" ht="76" customHeight="1">
      <c r="A87" s="3" t="inlineStr">
        <is>
          <t>Story</t>
        </is>
      </c>
      <c r="B87" s="3" t="inlineStr">
        <is>
          <t>MG-86</t>
        </is>
      </c>
      <c r="C87" s="3" t="inlineStr">
        <is>
          <t>MG-E20</t>
        </is>
      </c>
      <c r="D87" s="3" t="inlineStr">
        <is>
          <t>Design System Foundation</t>
        </is>
      </c>
      <c r="E87" s="3" t="inlineStr">
        <is>
          <t>Token primitives + semantic dark/light themes</t>
        </is>
      </c>
      <c r="F87" s="3" t="inlineStr">
        <is>
          <t>Color palette, typography (IBM Plex Sans, JetBrains Mono), spacing, radius, opacity, timing.</t>
        </is>
      </c>
      <c r="G87" s="3" t="inlineStr">
        <is>
          <t>1. CSS custom properties under --ds-* namespace
2. data-theme=light/dark switch active scheme
3. localStorage persists user choice
4. Every UI surface renders correctly in both themes
5. Token build artifacts shipped as importable JSON</t>
        </is>
      </c>
      <c r="H87" s="3" t="n">
        <v>5</v>
      </c>
      <c r="I87" s="3" t="inlineStr">
        <is>
          <t>High</t>
        </is>
      </c>
      <c r="J87" s="3" t="inlineStr">
        <is>
          <t>packages/shared/foundation/design-system</t>
        </is>
      </c>
      <c r="K87" s="4" t="inlineStr">
        <is>
          <t>Done</t>
        </is>
      </c>
    </row>
    <row r="88" ht="76" customHeight="1">
      <c r="A88" s="2" t="inlineStr">
        <is>
          <t>Story</t>
        </is>
      </c>
      <c r="B88" s="2" t="inlineStr">
        <is>
          <t>MG-87</t>
        </is>
      </c>
      <c r="C88" s="2" t="inlineStr">
        <is>
          <t>MG-E20</t>
        </is>
      </c>
      <c r="D88" s="2" t="inlineStr">
        <is>
          <t>Design System Foundation</t>
        </is>
      </c>
      <c r="E88" s="2" t="inlineStr">
        <is>
          <t>AG-Grid theme adapter (Quartz minimal params, 6 variants)</t>
        </is>
      </c>
      <c r="F88" s="2" t="inlineStr">
        <is>
          <t>agGrid.ts theme params from semantic tokens; 6 variants (dark/light × compact/comfort/ultra).</t>
        </is>
      </c>
      <c r="G88" s="2" t="inlineStr">
        <is>
          <t>1. Theme object exported per variant
2. Density variants set row/header heights
3. browserColorScheme bridge for scrollbar styles
4. No AG-Grid CSS overrides — theme params only
5. Light theme contrast verified</t>
        </is>
      </c>
      <c r="H88" s="2" t="n">
        <v>5</v>
      </c>
      <c r="I88" s="2" t="inlineStr">
        <is>
          <t>High</t>
        </is>
      </c>
      <c r="J88" s="2" t="inlineStr">
        <is>
          <t>packages/shared/foundation/design-system</t>
        </is>
      </c>
      <c r="K88" s="4" t="inlineStr">
        <is>
          <t>Done</t>
        </is>
      </c>
    </row>
    <row r="89" ht="62" customHeight="1">
      <c r="A89" s="3" t="inlineStr">
        <is>
          <t>Story</t>
        </is>
      </c>
      <c r="B89" s="3" t="inlineStr">
        <is>
          <t>MG-88</t>
        </is>
      </c>
      <c r="C89" s="3" t="inlineStr">
        <is>
          <t>MG-E20</t>
        </is>
      </c>
      <c r="D89" s="3" t="inlineStr">
        <is>
          <t>Design System Foundation</t>
        </is>
      </c>
      <c r="E89" s="3" t="inlineStr">
        <is>
          <t>Tailwind / PrimeNG / shadcn preset adapters</t>
        </is>
      </c>
      <c r="F89" s="3" t="inlineStr">
        <is>
          <t>Preset factories translating tokens to each framework.</t>
        </is>
      </c>
      <c r="G89" s="3" t="inlineStr">
        <is>
          <t>1. Tailwind preset feeds tailwind.config.ts content array
2. PrimeNG preset wires --p-* CSS vars
3. shadcn preset configures HSL CSS vars
4. No drift across adapters</t>
        </is>
      </c>
      <c r="H89" s="3" t="n">
        <v>3</v>
      </c>
      <c r="I89" s="3" t="inlineStr">
        <is>
          <t>Medium</t>
        </is>
      </c>
      <c r="J89" s="3" t="inlineStr">
        <is>
          <t>packages/shared/foundation/design-system</t>
        </is>
      </c>
      <c r="K89" s="4" t="inlineStr">
        <is>
          <t>Done</t>
        </is>
      </c>
    </row>
    <row r="90" ht="62" customHeight="1">
      <c r="A90" s="2" t="inlineStr">
        <is>
          <t>Story</t>
        </is>
      </c>
      <c r="B90" s="2" t="inlineStr">
        <is>
          <t>MG-89</t>
        </is>
      </c>
      <c r="C90" s="2" t="inlineStr">
        <is>
          <t>MG-E20</t>
        </is>
      </c>
      <c r="D90" s="2" t="inlineStr">
        <is>
          <t>Design System Foundation</t>
        </is>
      </c>
      <c r="E90" s="2" t="inlineStr">
        <is>
          <t>Trading cell renderers (12 components)</t>
        </is>
      </c>
      <c r="F90" s="2" t="inlineStr">
        <is>
          <t>Side, StatusBadge, ColoredValue, OasValue, SignedValue, Ticker, RatingBadge, PnlValue, FilledAmount, BookName, ChangeValue, YtdValue, RfqStatus.</t>
        </is>
      </c>
      <c r="G90" s="2" t="inlineStr">
        <is>
          <t>1. Each typed for AG-Grid CellRendererProps
2. Pure token-driven styling
3. Dark/light parity
4. Exported via @starui/design-system/cell-renderers</t>
        </is>
      </c>
      <c r="H90" s="2" t="n">
        <v>5</v>
      </c>
      <c r="I90" s="2" t="inlineStr">
        <is>
          <t>Medium</t>
        </is>
      </c>
      <c r="J90" s="2" t="inlineStr">
        <is>
          <t>packages/shared/foundation/design-system</t>
        </is>
      </c>
      <c r="K90" s="4" t="inlineStr">
        <is>
          <t>Done</t>
        </is>
      </c>
    </row>
    <row r="91" ht="62" customHeight="1">
      <c r="A91" s="3" t="inlineStr">
        <is>
          <t>Story</t>
        </is>
      </c>
      <c r="B91" s="3" t="inlineStr">
        <is>
          <t>MG-90</t>
        </is>
      </c>
      <c r="C91" s="3" t="inlineStr">
        <is>
          <t>MG-E20</t>
        </is>
      </c>
      <c r="D91" s="3" t="inlineStr">
        <is>
          <t>Design System Foundation</t>
        </is>
      </c>
      <c r="E91" s="3" t="inlineStr">
        <is>
          <t>check-design-system-deps gate</t>
        </is>
      </c>
      <c r="F91" s="3" t="inlineStr">
        <is>
          <t>Build gate enforcing no hardcoded colors/spacing; allow-list for shadcn-generated files.</t>
        </is>
      </c>
      <c r="G91" s="3" t="inlineStr">
        <is>
          <t>1. Lint scans src/* for hex/rgb
2. CI fails on violations
3. Wired as turbo dependency (check-ds)
4. Allow-list mechanism</t>
        </is>
      </c>
      <c r="H91" s="3" t="n">
        <v>3</v>
      </c>
      <c r="I91" s="3" t="inlineStr">
        <is>
          <t>Medium</t>
        </is>
      </c>
      <c r="J91" s="3" t="inlineStr">
        <is>
          <t>packages/shared/foundation/design-system</t>
        </is>
      </c>
      <c r="K91" s="4" t="inlineStr">
        <is>
          <t>Done</t>
        </is>
      </c>
    </row>
    <row r="92" ht="76" customHeight="1">
      <c r="A92" s="2" t="inlineStr">
        <is>
          <t>Story</t>
        </is>
      </c>
      <c r="B92" s="2" t="inlineStr">
        <is>
          <t>MG-91</t>
        </is>
      </c>
      <c r="C92" s="2" t="inlineStr">
        <is>
          <t>MG-E21</t>
        </is>
      </c>
      <c r="D92" s="2" t="inlineStr">
        <is>
          <t>Storage Adapters</t>
        </is>
      </c>
      <c r="E92" s="2" t="inlineStr">
        <is>
          <t>StorageAdapter contract + MemoryAdapter + DexieAdapter</t>
        </is>
      </c>
      <c r="F92" s="2" t="inlineStr">
        <is>
          <t>Interface + two implementations.</t>
        </is>
      </c>
      <c r="G92" s="2" t="inlineStr">
        <is>
          <t>1. Contract typed; async Promises
2. MemoryAdapter ephemeral
3. DexieAdapter persists in IndexedDB ('ds-customizer-v2')
4. Both pass conformance test suite
5. DexieAdapter handles upgrade from v1 storage</t>
        </is>
      </c>
      <c r="H92" s="2" t="n">
        <v>5</v>
      </c>
      <c r="I92" s="2" t="inlineStr">
        <is>
          <t>High</t>
        </is>
      </c>
      <c r="J92" s="2" t="inlineStr">
        <is>
          <t>packages/shared/core/src/persistence</t>
        </is>
      </c>
      <c r="K92" s="4" t="inlineStr">
        <is>
          <t>Done</t>
        </is>
      </c>
    </row>
    <row r="93" ht="62" customHeight="1">
      <c r="A93" s="3" t="inlineStr">
        <is>
          <t>Story</t>
        </is>
      </c>
      <c r="B93" s="3" t="inlineStr">
        <is>
          <t>MG-92</t>
        </is>
      </c>
      <c r="C93" s="3" t="inlineStr">
        <is>
          <t>MG-E21</t>
        </is>
      </c>
      <c r="D93" s="3" t="inlineStr">
        <is>
          <t>Storage Adapters</t>
        </is>
      </c>
      <c r="E93" s="3" t="inlineStr">
        <is>
          <t>StorageAdapterFactory pattern</t>
        </is>
      </c>
      <c r="F93" s="3" t="inlineStr">
        <is>
          <t>(opts: {instanceId, appId?, userId?}) =&gt; StorageAdapter.</t>
        </is>
      </c>
      <c r="G93" s="3" t="inlineStr">
        <is>
          <t>1. Factory resolved once per mount
2. instanceId always supplied (defaults to gridId)
3. appId + userId optional for tenant scoping
4. Result cached for grid lifetime; recomputed on identity prop change</t>
        </is>
      </c>
      <c r="H93" s="3" t="n">
        <v>3</v>
      </c>
      <c r="I93" s="3" t="inlineStr">
        <is>
          <t>High</t>
        </is>
      </c>
      <c r="J93" s="3" t="inlineStr">
        <is>
          <t>packages/shared/core/src/persistence</t>
        </is>
      </c>
      <c r="K93" s="4" t="inlineStr">
        <is>
          <t>Done</t>
        </is>
      </c>
    </row>
    <row r="94" ht="90" customHeight="1">
      <c r="A94" s="2" t="inlineStr">
        <is>
          <t>Story</t>
        </is>
      </c>
      <c r="B94" s="2" t="inlineStr">
        <is>
          <t>MG-93</t>
        </is>
      </c>
      <c r="C94" s="2" t="inlineStr">
        <is>
          <t>MG-E22</t>
        </is>
      </c>
      <c r="D94" s="2" t="inlineStr">
        <is>
          <t>ConfigService Integration</t>
        </is>
      </c>
      <c r="E94" s="2" t="inlineStr">
        <is>
          <t>Bundle-row layout format</t>
        </is>
      </c>
      <c r="F94" s="2" t="inlineStr">
        <is>
          <t>{version, profiles, gridLevelData} in one AppConfigRow keyed by (appId, userId, instanceId).</t>
        </is>
      </c>
      <c r="G94" s="2" t="inlineStr">
        <is>
          <t>1. Each grid instance maps to exactly one AppConfigRow
2. Primary key = (appId, userId, instanceId)
3. Payload version monotonic int
4. profiles[] holds every layout for the instance
5. gridLevelData at top level
6. Admin Config Browser shows one row per blotter</t>
        </is>
      </c>
      <c r="H94" s="2" t="n">
        <v>8</v>
      </c>
      <c r="I94" s="2" t="inlineStr">
        <is>
          <t>High</t>
        </is>
      </c>
      <c r="J94" s="2" t="inlineStr">
        <is>
          <t>packages/shared/services/config-service/src/profileStorage</t>
        </is>
      </c>
      <c r="K94" s="4" t="inlineStr">
        <is>
          <t>Done</t>
        </is>
      </c>
    </row>
    <row r="95" ht="76" customHeight="1">
      <c r="A95" s="3" t="inlineStr">
        <is>
          <t>Story</t>
        </is>
      </c>
      <c r="B95" s="3" t="inlineStr">
        <is>
          <t>MG-94</t>
        </is>
      </c>
      <c r="C95" s="3" t="inlineStr">
        <is>
          <t>MG-E22</t>
        </is>
      </c>
      <c r="D95" s="3" t="inlineStr">
        <is>
          <t>ConfigService Integration</t>
        </is>
      </c>
      <c r="E95" s="3" t="inlineStr">
        <is>
          <t>Optimistic concurrency + ProfileSetVersionConflictError</t>
        </is>
      </c>
      <c r="F95" s="3" t="inlineStr">
        <is>
          <t>Every save reads row version, writes version+1; conflict on mismatch.</t>
        </is>
      </c>
      <c r="G95" s="3" t="inlineStr">
        <is>
          <t>1. saveProfile reads current version → writes version+1
2. Mismatch throws ProfileSetVersionConflictError
3. Caller can reload + retry or surface conflict dialog
4. Stops two windows silently clobbering
5. REST backend uses If-Match header when available</t>
        </is>
      </c>
      <c r="H95" s="3" t="n">
        <v>5</v>
      </c>
      <c r="I95" s="3" t="inlineStr">
        <is>
          <t>High</t>
        </is>
      </c>
      <c r="J95" s="3" t="inlineStr">
        <is>
          <t>packages/shared/services/config-service/src/profileStorage</t>
        </is>
      </c>
      <c r="K95" s="4" t="inlineStr">
        <is>
          <t>Done</t>
        </is>
      </c>
    </row>
    <row r="96" ht="62" customHeight="1">
      <c r="A96" s="2" t="inlineStr">
        <is>
          <t>Story</t>
        </is>
      </c>
      <c r="B96" s="2" t="inlineStr">
        <is>
          <t>MG-95</t>
        </is>
      </c>
      <c r="C96" s="2" t="inlineStr">
        <is>
          <t>MG-E22</t>
        </is>
      </c>
      <c r="D96" s="2" t="inlineStr">
        <is>
          <t>ConfigService Integration</t>
        </is>
      </c>
      <c r="E96" s="2" t="inlineStr">
        <is>
          <t>Identity-bound row metadata</t>
        </is>
      </c>
      <c r="F96" s="2" t="inlineStr">
        <is>
          <t>Bundle row carries componentType/componentSubType/isTemplate/singleton matching registry entry.</t>
        </is>
      </c>
      <c r="G96" s="2" t="inlineStr">
        <is>
          <t>1. AppConfigRow fields populated from registeredIdentity at launch
2. Visibility rules + admin filters key off these
3. Defaults to 'markets-grid-profile-set' when registry data absent
4. Editable through Config Browser</t>
        </is>
      </c>
      <c r="H96" s="2" t="n">
        <v>5</v>
      </c>
      <c r="I96" s="2" t="inlineStr">
        <is>
          <t>Medium</t>
        </is>
      </c>
      <c r="J96" s="2" t="inlineStr">
        <is>
          <t>packages/shared/services/config-service/src/profileStorage</t>
        </is>
      </c>
      <c r="K96" s="4" t="inlineStr">
        <is>
          <t>Done</t>
        </is>
      </c>
    </row>
    <row r="97" ht="76" customHeight="1">
      <c r="A97" s="3" t="inlineStr">
        <is>
          <t>Story</t>
        </is>
      </c>
      <c r="B97" s="3" t="inlineStr">
        <is>
          <t>MG-96</t>
        </is>
      </c>
      <c r="C97" s="3" t="inlineStr">
        <is>
          <t>MG-E22</t>
        </is>
      </c>
      <c r="D97" s="3" t="inlineStr">
        <is>
          <t>ConfigService Integration</t>
        </is>
      </c>
      <c r="E97" s="3" t="inlineStr">
        <is>
          <t>Template-to-instance pre-clone on launch</t>
        </is>
      </c>
      <c r="F97" s="3" t="inlineStr">
        <is>
          <t>Launcher copies template layout row onto fresh instanceId BEFORE view's MarketsGrid mounts.</t>
        </is>
      </c>
      <c r="G97" s="3" t="inlineStr">
        <is>
          <t>1. Registry launcher detects template row by isTemplate=true
2. Pre-clone copies state to (appId, userId, newInstanceId) before view URL loads
3. MarketsGrid hits populated row on first read
4. No seed race, no flicker
5. Failure falls back to seeding from empty Default layout</t>
        </is>
      </c>
      <c r="H97" s="3" t="n">
        <v>5</v>
      </c>
      <c r="I97" s="3" t="inlineStr">
        <is>
          <t>High</t>
        </is>
      </c>
      <c r="J97" s="3" t="inlineStr">
        <is>
          <t>packages/shared/services/config-service/src/profileStorage</t>
        </is>
      </c>
      <c r="K97" s="4" t="inlineStr">
        <is>
          <t>Done</t>
        </is>
      </c>
    </row>
    <row r="98" ht="76" customHeight="1">
      <c r="A98" s="2" t="inlineStr">
        <is>
          <t>Story</t>
        </is>
      </c>
      <c r="B98" s="2" t="inlineStr">
        <is>
          <t>MG-97</t>
        </is>
      </c>
      <c r="C98" s="2" t="inlineStr">
        <is>
          <t>MG-E22</t>
        </is>
      </c>
      <c r="D98" s="2" t="inlineStr">
        <is>
          <t>ConfigService Integration</t>
        </is>
      </c>
      <c r="E98" s="2" t="inlineStr">
        <is>
          <t>createConfigServiceStorage + migrateProfilesToConfigService</t>
        </is>
      </c>
      <c r="F98" s="2" t="inlineStr">
        <is>
          <t>Adapter factory bundling layouts into ConfigService rows. One-shot admin migration helper.</t>
        </is>
      </c>
      <c r="G98" s="2" t="inlineStr">
        <is>
          <t>1. createConfigServiceStorage(configManager) returns StorageAdapterFactory
2. Save bundles all layouts; delete removes from bundle
3. listProfiles parses bundle
4. migrateProfilesToConfigService({source, target, mode}) supports skip-if-exists / overwrite
5. Idempotent and reportable</t>
        </is>
      </c>
      <c r="H98" s="2" t="n">
        <v>8</v>
      </c>
      <c r="I98" s="2" t="inlineStr">
        <is>
          <t>High</t>
        </is>
      </c>
      <c r="J98" s="2" t="inlineStr">
        <is>
          <t>packages/shared/services/config-service/src/profileStorage</t>
        </is>
      </c>
      <c r="K98" s="4" t="inlineStr">
        <is>
          <t>Done</t>
        </is>
      </c>
    </row>
    <row r="99" ht="76" customHeight="1">
      <c r="A99" s="3" t="inlineStr">
        <is>
          <t>Story</t>
        </is>
      </c>
      <c r="B99" s="3" t="inlineStr">
        <is>
          <t>MG-98</t>
        </is>
      </c>
      <c r="C99" s="3" t="inlineStr">
        <is>
          <t>MG-E23</t>
        </is>
      </c>
      <c r="D99" s="3" t="inlineStr">
        <is>
          <t>Popout / OpenFin Window Support</t>
        </is>
      </c>
      <c r="E99" s="3" t="inlineStr">
        <is>
          <t>PopoutPortal + Poppable render-prop</t>
        </is>
      </c>
      <c r="F99" s="3" t="inlineStr">
        <is>
          <t>OS window lifecycle + React portal bridge + render-prop for inline ↔ popped switching.</t>
        </is>
      </c>
      <c r="G99" s="3" t="inlineStr">
        <is>
          <t>1. PopoutPortal handles window open/close/destroy
2. React portals land in popped document
3. Poppable provides PopoutButton + popped flag
4. State preserved across pop/unpop within session
5. Cross-document event handlers cleaned up</t>
        </is>
      </c>
      <c r="H99" s="3" t="n">
        <v>8</v>
      </c>
      <c r="I99" s="3" t="inlineStr">
        <is>
          <t>High</t>
        </is>
      </c>
      <c r="J99" s="3" t="inlineStr">
        <is>
          <t>packages/react/widgets/grid-react/src/ui/popout, openfin window opener</t>
        </is>
      </c>
      <c r="K99" s="4" t="inlineStr">
        <is>
          <t>Done</t>
        </is>
      </c>
    </row>
    <row r="100" ht="76" customHeight="1">
      <c r="A100" s="2" t="inlineStr">
        <is>
          <t>Story</t>
        </is>
      </c>
      <c r="B100" s="2" t="inlineStr">
        <is>
          <t>MG-99</t>
        </is>
      </c>
      <c r="C100" s="2" t="inlineStr">
        <is>
          <t>MG-E23</t>
        </is>
      </c>
      <c r="D100" s="2" t="inlineStr">
        <is>
          <t>Popout / OpenFin Window Support</t>
        </is>
      </c>
      <c r="E100" s="2" t="inlineStr">
        <is>
          <t>OpenFin frameless alwaysOnTop with custom title bar</t>
        </is>
      </c>
      <c r="F100" s="2" t="inlineStr">
        <is>
          <t>Settings drawer + Formatting toolbar pop out as frameless OpenFin windows.</t>
        </is>
      </c>
      <c r="G100" s="2" t="inlineStr">
        <is>
          <t>1. Detect OpenFin via fin.me
2. Frameless window with alwaysOnTop:true
3. Custom draggable title bar replaces native chrome
4. Close button wired to platform-supplied closer
5. Browser fallback: standard popup</t>
        </is>
      </c>
      <c r="H100" s="2" t="n">
        <v>5</v>
      </c>
      <c r="I100" s="2" t="inlineStr">
        <is>
          <t>High</t>
        </is>
      </c>
      <c r="J100" s="2" t="inlineStr">
        <is>
          <t>packages/react/widgets/grid-react/src/ui/popout, openfin window opener</t>
        </is>
      </c>
      <c r="K100" s="4" t="inlineStr">
        <is>
          <t>Done</t>
        </is>
      </c>
    </row>
    <row r="101" ht="76" customHeight="1">
      <c r="A101" s="3" t="inlineStr">
        <is>
          <t>Story</t>
        </is>
      </c>
      <c r="B101" s="3" t="inlineStr">
        <is>
          <t>MG-100</t>
        </is>
      </c>
      <c r="C101" s="3" t="inlineStr">
        <is>
          <t>MG-E23</t>
        </is>
      </c>
      <c r="D101" s="3" t="inlineStr">
        <is>
          <t>Popout / OpenFin Window Support</t>
        </is>
      </c>
      <c r="E101" s="3" t="inlineStr">
        <is>
          <t>Buried-popout detection (raise instead of duplicate)</t>
        </is>
      </c>
      <c r="F101" s="3" t="inlineStr">
        <is>
          <t>Re-clicking 'Pop out' when window already open raises to front.</t>
        </is>
      </c>
      <c r="G101" s="3" t="inlineStr">
        <is>
          <t>1. PopoutPortal tracks open windows by stable key
2. Re-click resolves existing handle
3. OpenFin: bringToFront / focus
4. Browser: window.focus()
5. No duplicate windows possible per key</t>
        </is>
      </c>
      <c r="H101" s="3" t="n">
        <v>3</v>
      </c>
      <c r="I101" s="3" t="inlineStr">
        <is>
          <t>Medium</t>
        </is>
      </c>
      <c r="J101" s="3" t="inlineStr">
        <is>
          <t>packages/react/widgets/grid-react/src/ui/popout, openfin window opener</t>
        </is>
      </c>
      <c r="K101" s="4" t="inlineStr">
        <is>
          <t>Done</t>
        </is>
      </c>
    </row>
    <row r="102" ht="62" customHeight="1">
      <c r="A102" s="2" t="inlineStr">
        <is>
          <t>Story</t>
        </is>
      </c>
      <c r="B102" s="2" t="inlineStr">
        <is>
          <t>MG-101</t>
        </is>
      </c>
      <c r="C102" s="2" t="inlineStr">
        <is>
          <t>MG-E23</t>
        </is>
      </c>
      <c r="D102" s="2" t="inlineStr">
        <is>
          <t>Popout / OpenFin Window Support</t>
        </is>
      </c>
      <c r="E102" s="2" t="inlineStr">
        <is>
          <t>PortalContainerProvider for popout-aware Radix portals</t>
        </is>
      </c>
      <c r="F102" s="2" t="inlineStr">
        <is>
          <t>Context provider so Radix dropdowns/popovers resolve target to active document.</t>
        </is>
      </c>
      <c r="G102" s="2" t="inlineStr">
        <is>
          <t>1. usePortalContainer returns ref to active document body
2. Settings sheet popovers respect context
3. Radix portals receive resolved container
4. Multiple concurrent popouts each have own context</t>
        </is>
      </c>
      <c r="H102" s="2" t="n">
        <v>3</v>
      </c>
      <c r="I102" s="2" t="inlineStr">
        <is>
          <t>High</t>
        </is>
      </c>
      <c r="J102" s="2" t="inlineStr">
        <is>
          <t>packages/react/widgets/grid-react/src/ui/popout, openfin window opener</t>
        </is>
      </c>
      <c r="K102" s="4" t="inlineStr">
        <is>
          <t>Done</t>
        </is>
      </c>
    </row>
    <row r="103" ht="90" customHeight="1">
      <c r="A103" s="3" t="inlineStr">
        <is>
          <t>Story</t>
        </is>
      </c>
      <c r="B103" s="3" t="inlineStr">
        <is>
          <t>MG-102</t>
        </is>
      </c>
      <c r="C103" s="3" t="inlineStr">
        <is>
          <t>MG-E24</t>
        </is>
      </c>
      <c r="D103" s="3" t="inlineStr">
        <is>
          <t>Expression Security Policy</t>
        </is>
      </c>
      <c r="E103" s="3" t="inlineStr">
        <is>
          <t>configureExpressionPolicy + sanitize on import</t>
        </is>
      </c>
      <c r="F103" s="3" t="inlineStr">
        <is>
          <t>Modes: allow / warn / strict. Strict disables expression-kind formatters; rejects on import. sanitize:true rewrites to safe presets.</t>
        </is>
      </c>
      <c r="G103" s="3" t="inlineStr">
        <is>
          <t>1. configureExpressionPolicy({mode, onViolation}) sets global policy
2. Strict: valueFormatterFromTemplate returns identity for kind:'expression'
3. Strict: ProfileManager.import rejects expression templates
4. sanitize:true rewrites to safe num-integer preset
5. getExpressionPolicy() returns current
6. onViolation observer for telemetry</t>
        </is>
      </c>
      <c r="H103" s="3" t="n">
        <v>5</v>
      </c>
      <c r="I103" s="3" t="inlineStr">
        <is>
          <t>High</t>
        </is>
      </c>
      <c r="J103" s="3" t="inlineStr">
        <is>
          <t>packages/shared/core/src/expression/policy</t>
        </is>
      </c>
      <c r="K103" s="4" t="inlineStr">
        <is>
          <t>Done</t>
        </is>
      </c>
    </row>
    <row r="104" ht="76" customHeight="1">
      <c r="A104" s="2" t="inlineStr">
        <is>
          <t>Story</t>
        </is>
      </c>
      <c r="B104" s="2" t="inlineStr">
        <is>
          <t>MG-103</t>
        </is>
      </c>
      <c r="C104" s="2" t="inlineStr">
        <is>
          <t>MG-E25</t>
        </is>
      </c>
      <c r="D104" s="2" t="inlineStr">
        <is>
          <t>Admin Actions</t>
        </is>
      </c>
      <c r="E104" s="2" t="inlineStr">
        <is>
          <t>AdminAction system + Refresh built-in</t>
        </is>
      </c>
      <c r="F104" s="2" t="inlineStr">
        <is>
          <t>adminActions prop renders icon buttons in Settings Tools menu. Built-in Refresh.</t>
        </is>
      </c>
      <c r="G104" s="2" t="inlineStr">
        <is>
          <t>1. Each action {id, label, icon, description, onClick, visible}
2. Icon preset catalog
3. visible:false hides action
4. Built-in Refresh action invokes container.refresh() with timestamp/asOfDate hint
5. Async onClick tolerated</t>
        </is>
      </c>
      <c r="H104" s="2" t="n">
        <v>3</v>
      </c>
      <c r="I104" s="2" t="inlineStr">
        <is>
          <t>Medium</t>
        </is>
      </c>
      <c r="J104" s="2" t="inlineStr">
        <is>
          <t>packages/react/widgets/markets-grid/src/types.ts, SettingsSheet.tsx</t>
        </is>
      </c>
      <c r="K104" s="4" t="inlineStr">
        <is>
          <t>Done</t>
        </is>
      </c>
    </row>
    <row r="105" ht="76" customHeight="1">
      <c r="A105" s="3" t="inlineStr">
        <is>
          <t>Story</t>
        </is>
      </c>
      <c r="B105" s="3" t="inlineStr">
        <is>
          <t>MG-104</t>
        </is>
      </c>
      <c r="C105" s="3" t="inlineStr">
        <is>
          <t>MG-E26</t>
        </is>
      </c>
      <c r="D105" s="3" t="inlineStr">
        <is>
          <t>App-Data Binding</t>
        </is>
      </c>
      <c r="E105" s="3" t="inlineStr">
        <is>
          <t>AppDataStore named key/value registry</t>
        </is>
      </c>
      <c r="F105" s="3" t="inlineStr">
        <is>
          <t>Cross-component shared store. Worker-side canonical + main-thread mirror.</t>
        </is>
      </c>
      <c r="G105" s="3" t="inlineStr">
        <is>
          <t>1. Worker holds canonical AppData under named keys
2. AppDataMirror syncs to main-thread for fast reads
3. Update from any window broadcasts to others
4. Subscribers receive change events
5. Optionally persisted to ConfigService for boot-time defaults</t>
        </is>
      </c>
      <c r="H105" s="3" t="n">
        <v>5</v>
      </c>
      <c r="I105" s="3" t="inlineStr">
        <is>
          <t>High</t>
        </is>
      </c>
      <c r="J105" s="3" t="inlineStr">
        <is>
          <t>packages/shared/services/data-services + grid-react cell editors</t>
        </is>
      </c>
      <c r="K105" s="4" t="inlineStr">
        <is>
          <t>Done</t>
        </is>
      </c>
    </row>
    <row r="106" ht="76" customHeight="1">
      <c r="A106" s="2" t="inlineStr">
        <is>
          <t>Story</t>
        </is>
      </c>
      <c r="B106" s="2" t="inlineStr">
        <is>
          <t>MG-105</t>
        </is>
      </c>
      <c r="C106" s="2" t="inlineStr">
        <is>
          <t>MG-E26</t>
        </is>
      </c>
      <c r="D106" s="2" t="inlineStr">
        <is>
          <t>App-Data Binding</t>
        </is>
      </c>
      <c r="E106" s="2" t="inlineStr">
        <is>
          <t>{{providerName.key}} template resolution + useResolvedCfg</t>
        </is>
      </c>
      <c r="F106" s="2" t="inlineStr">
        <is>
          <t>Provider config strings can reference AppData. useResolvedCfg re-resolves on change → triggers re-subscribe.</t>
        </is>
      </c>
      <c r="G106" s="2" t="inlineStr">
        <is>
          <t>1. Template syntax {{name.key}} recognized in any string field
2. useResolvedCfg(providerId, cfg) returns resolved cfg + reactivity
3. AppData change → re-resolve → worker re-subscribe
4. Unresolved references logged in dev
5. Round-trip with provider editor preserves templates</t>
        </is>
      </c>
      <c r="H106" s="2" t="n">
        <v>5</v>
      </c>
      <c r="I106" s="2" t="inlineStr">
        <is>
          <t>High</t>
        </is>
      </c>
      <c r="J106" s="2" t="inlineStr">
        <is>
          <t>packages/shared/services/data-services + grid-react cell editors</t>
        </is>
      </c>
      <c r="K106" s="4" t="inlineStr">
        <is>
          <t>Done</t>
        </is>
      </c>
    </row>
    <row r="107" ht="76" customHeight="1">
      <c r="A107" s="3" t="inlineStr">
        <is>
          <t>Story</t>
        </is>
      </c>
      <c r="B107" s="3" t="inlineStr">
        <is>
          <t>MG-106</t>
        </is>
      </c>
      <c r="C107" s="3" t="inlineStr">
        <is>
          <t>MG-E26</t>
        </is>
      </c>
      <c r="D107" s="3" t="inlineStr">
        <is>
          <t>App-Data Binding</t>
        </is>
      </c>
      <c r="E107" s="3" t="inlineStr">
        <is>
          <t>Cell-editor valuesSource via AppData</t>
        </is>
      </c>
      <c r="F107" s="3" t="inlineStr">
        <is>
          <t>Dropdown cell editor with valuesSource: '{{currencies.list}}' looks up AppData at edit time.</t>
        </is>
      </c>
      <c r="G107" s="3" t="inlineStr">
        <is>
          <t>1. valuesSource accepts {{name.key}} syntax
2. Lookup at edit time via AppDataMirror
3. Dropdown options match AppData entry keys
4. Empty/missing entry shows fallback
5. Admins can update dropdown without touching grid code</t>
        </is>
      </c>
      <c r="H107" s="3" t="n">
        <v>5</v>
      </c>
      <c r="I107" s="3" t="inlineStr">
        <is>
          <t>High</t>
        </is>
      </c>
      <c r="J107" s="3" t="inlineStr">
        <is>
          <t>packages/shared/services/data-services + grid-react cell editors</t>
        </is>
      </c>
      <c r="K107" s="4" t="inlineStr">
        <is>
          <t>Done</t>
        </is>
      </c>
    </row>
    <row r="108" ht="76" customHeight="1">
      <c r="A108" s="2" t="inlineStr">
        <is>
          <t>Story</t>
        </is>
      </c>
      <c r="B108" s="2" t="inlineStr">
        <is>
          <t>MG-107</t>
        </is>
      </c>
      <c r="C108" s="2" t="inlineStr">
        <is>
          <t>MG-E27</t>
        </is>
      </c>
      <c r="D108" s="2" t="inlineStr">
        <is>
          <t>MarketsGridContainer (Data Provider Layer)</t>
        </is>
      </c>
      <c r="E108" s="2" t="inlineStr">
        <is>
          <t>&lt;MarketsGridContainer&gt; v2 wrapper component</t>
        </is>
      </c>
      <c r="F108" s="2" t="inlineStr">
        <is>
          <t>Layer wrapping &lt;MarketsGrid&gt; with data-provider integration.</t>
        </is>
      </c>
      <c r="G108" s="2" t="inlineStr">
        <is>
          <t>1. Accepts same props as MarketsGrid + dataProvidersRef / configManager
2. Resolves storage factory once; reads gridLevelData for provider state
3. Mounts ProviderToolbar in headerExtras
4. Wires onGridLevelDataLoad to seed provider state
5. Forwards imperative ref</t>
        </is>
      </c>
      <c r="H108" s="2" t="n">
        <v>8</v>
      </c>
      <c r="I108" s="2" t="inlineStr">
        <is>
          <t>High</t>
        </is>
      </c>
      <c r="J108" s="2" t="inlineStr">
        <is>
          <t>packages/react/widgets/widgets-react/src/v2/markets-grid-container</t>
        </is>
      </c>
      <c r="K108" s="6" t="inlineStr">
        <is>
          <t>In Progress</t>
        </is>
      </c>
    </row>
    <row r="109" ht="76" customHeight="1">
      <c r="A109" s="3" t="inlineStr">
        <is>
          <t>Story</t>
        </is>
      </c>
      <c r="B109" s="3" t="inlineStr">
        <is>
          <t>MG-108</t>
        </is>
      </c>
      <c r="C109" s="3" t="inlineStr">
        <is>
          <t>MG-E27</t>
        </is>
      </c>
      <c r="D109" s="3" t="inlineStr">
        <is>
          <t>MarketsGridContainer (Data Provider Layer)</t>
        </is>
      </c>
      <c r="E109" s="3" t="inlineStr">
        <is>
          <t>Two provider slots (Live + Historical) with mode toggle</t>
        </is>
      </c>
      <c r="F109" s="3" t="inlineStr">
        <is>
          <t>Per-grid Live (streaming) + Historical (REST as-of-date) providers.</t>
        </is>
      </c>
      <c r="G109" s="3" t="inlineStr">
        <is>
          <t>1. gridLevelData stores {liveProviderId, historicalProviderId, mode}
2. Mode toggle in ProviderToolbar
3. Switching mode tears down old subscription and starts new one
4. Historical mode shows date picker
5. Either slot can be unset; toolbar adapts</t>
        </is>
      </c>
      <c r="H109" s="3" t="n">
        <v>5</v>
      </c>
      <c r="I109" s="3" t="inlineStr">
        <is>
          <t>High</t>
        </is>
      </c>
      <c r="J109" s="3" t="inlineStr">
        <is>
          <t>packages/react/widgets/widgets-react/src/v2/markets-grid-container</t>
        </is>
      </c>
      <c r="K109" s="6" t="inlineStr">
        <is>
          <t>In Progress</t>
        </is>
      </c>
    </row>
    <row r="110" ht="76" customHeight="1">
      <c r="A110" s="2" t="inlineStr">
        <is>
          <t>Story</t>
        </is>
      </c>
      <c r="B110" s="2" t="inlineStr">
        <is>
          <t>MG-109</t>
        </is>
      </c>
      <c r="C110" s="2" t="inlineStr">
        <is>
          <t>MG-E27</t>
        </is>
      </c>
      <c r="D110" s="2" t="inlineStr">
        <is>
          <t>MarketsGridContainer (Data Provider Layer)</t>
        </is>
      </c>
      <c r="E110" s="2" t="inlineStr">
        <is>
          <t>ProviderToolbar in headerExtras (Alt+Shift+P)</t>
        </is>
      </c>
      <c r="F110" s="2" t="inlineStr">
        <is>
          <t>Dev/support-flavoured toolbar hidden behind Alt+Shift+P.</t>
        </is>
      </c>
      <c r="G110" s="2" t="inlineStr">
        <is>
          <t>1. ProviderToolbar renders in headerExtras when container used
2. Initially hidden; Alt+Shift+P reveals
3. Contains live/historical selectors, mode toggle, refresh
4. End-user grids that hardcode their provider can omit container
5. Visibility resets per session</t>
        </is>
      </c>
      <c r="H110" s="2" t="n">
        <v>3</v>
      </c>
      <c r="I110" s="2" t="inlineStr">
        <is>
          <t>Medium</t>
        </is>
      </c>
      <c r="J110" s="2" t="inlineStr">
        <is>
          <t>packages/react/widgets/widgets-react/src/v2/markets-grid-container</t>
        </is>
      </c>
      <c r="K110" s="6" t="inlineStr">
        <is>
          <t>In Progress</t>
        </is>
      </c>
    </row>
    <row r="111" ht="90" customHeight="1">
      <c r="A111" s="3" t="inlineStr">
        <is>
          <t>Story</t>
        </is>
      </c>
      <c r="B111" s="3" t="inlineStr">
        <is>
          <t>MG-110</t>
        </is>
      </c>
      <c r="C111" s="3" t="inlineStr">
        <is>
          <t>MG-E27</t>
        </is>
      </c>
      <c r="D111" s="3" t="inlineStr">
        <is>
          <t>MarketsGridContainer (Data Provider Layer)</t>
        </is>
      </c>
      <c r="E111" s="3" t="inlineStr">
        <is>
          <t>Two-phase data flow (snapshot → live transactions)</t>
        </is>
      </c>
      <c r="F111" s="3" t="inlineStr">
        <is>
          <t>Worker delivers snapshot in chunks; container accumulates and single setGridOption('rowData') on ready. Live updates as async transactions.</t>
        </is>
      </c>
      <c r="G111" s="3" t="inlineStr">
        <is>
          <t>1. State machine: loading / ready / error
2. Snapshot chunks accumulated client-side until 'ready'
3. One setGridOption('rowData', accumulated) on ready
4. Subsequent updates via applyTransactionAsync
5. Add-vs-update via getRowId composition matching worker keyColumn
6. Loading overlay during snapshot phase</t>
        </is>
      </c>
      <c r="H111" s="3" t="n">
        <v>8</v>
      </c>
      <c r="I111" s="3" t="inlineStr">
        <is>
          <t>High</t>
        </is>
      </c>
      <c r="J111" s="3" t="inlineStr">
        <is>
          <t>packages/react/widgets/widgets-react/src/v2/markets-grid-container</t>
        </is>
      </c>
      <c r="K111" s="6" t="inlineStr">
        <is>
          <t>In Progress</t>
        </is>
      </c>
    </row>
    <row r="112" ht="76" customHeight="1">
      <c r="A112" s="2" t="inlineStr">
        <is>
          <t>Story</t>
        </is>
      </c>
      <c r="B112" s="2" t="inlineStr">
        <is>
          <t>MG-111</t>
        </is>
      </c>
      <c r="C112" s="2" t="inlineStr">
        <is>
          <t>MG-E27</t>
        </is>
      </c>
      <c r="D112" s="2" t="inlineStr">
        <is>
          <t>MarketsGridContainer (Data Provider Layer)</t>
        </is>
      </c>
      <c r="E112" s="2" t="inlineStr">
        <is>
          <t>Refresh = re-subscribe with hint, peer-visible overlay</t>
        </is>
      </c>
      <c r="F112" s="2" t="inlineStr">
        <is>
          <t>Refresh passes {__refresh: ts} or {asOfDate}. EVERY connected window sees loading overlay during peer-triggered refresh.</t>
        </is>
      </c>
      <c r="G112" s="2" t="inlineStr">
        <is>
          <t>1. Refresh button + admin action both call container.refresh(extra)
2. Worker.restart(extra) clears cache and re-snapshots
3. Every connected window flips to loading overlay
4. Single source of truth
5. Date-picker change on historical triggers refresh with new asOfDate</t>
        </is>
      </c>
      <c r="H112" s="2" t="n">
        <v>5</v>
      </c>
      <c r="I112" s="2" t="inlineStr">
        <is>
          <t>High</t>
        </is>
      </c>
      <c r="J112" s="2" t="inlineStr">
        <is>
          <t>packages/react/widgets/widgets-react/src/v2/markets-grid-container</t>
        </is>
      </c>
      <c r="K112" s="6" t="inlineStr">
        <is>
          <t>In Progress</t>
        </is>
      </c>
    </row>
    <row r="113" ht="90" customHeight="1">
      <c r="A113" s="3" t="inlineStr">
        <is>
          <t>Story</t>
        </is>
      </c>
      <c r="B113" s="3" t="inlineStr">
        <is>
          <t>MG-112</t>
        </is>
      </c>
      <c r="C113" s="3" t="inlineStr">
        <is>
          <t>MG-E28</t>
        </is>
      </c>
      <c r="D113" s="3" t="inlineStr">
        <is>
          <t>Data Services Runtime</t>
        </is>
      </c>
      <c r="E113" s="3" t="inlineStr">
        <is>
          <t>SharedWorker hub + main-thread client</t>
        </is>
      </c>
      <c r="F113" s="3" t="inlineStr">
        <is>
          <t>installSharedWorkerHub + SharedWorkerDataServicesClient. One connection per provider; N clients multiplex.</t>
        </is>
      </c>
      <c r="G113" s="3" t="inlineStr">
        <is>
          <t>1. Hub manages REST/WebSocket/STOMP connections
2. Client proxies messages over MessagePort
3. Multi-tab safe (SharedWorker scope)
4. Reconnection + back-pressure in worker
5. Probe + stats APIs through client
6. Three windows of same blotter → one upstream connection</t>
        </is>
      </c>
      <c r="H113" s="3" t="n">
        <v>8</v>
      </c>
      <c r="I113" s="3" t="inlineStr">
        <is>
          <t>High</t>
        </is>
      </c>
      <c r="J113" s="3" t="inlineStr">
        <is>
          <t>packages/shared/services/data-services</t>
        </is>
      </c>
      <c r="K113" s="4" t="inlineStr">
        <is>
          <t>Done</t>
        </is>
      </c>
    </row>
    <row r="114" ht="76" customHeight="1">
      <c r="A114" s="2" t="inlineStr">
        <is>
          <t>Story</t>
        </is>
      </c>
      <c r="B114" s="2" t="inlineStr">
        <is>
          <t>MG-113</t>
        </is>
      </c>
      <c r="C114" s="2" t="inlineStr">
        <is>
          <t>MG-E28</t>
        </is>
      </c>
      <c r="D114" s="2" t="inlineStr">
        <is>
          <t>Data Services Runtime</t>
        </is>
      </c>
      <c r="E114" s="2" t="inlineStr">
        <is>
          <t>REST / STOMP / WebSocket provider implementations</t>
        </is>
      </c>
      <c r="F114" s="2" t="inlineStr">
        <is>
          <t>Per-provider impl with config types + probe functions.</t>
        </is>
      </c>
      <c r="G114" s="2" t="inlineStr">
        <is>
          <t>1. REST: GET/POST with template-resolved URL + headers; polling interval
2. STOMP: optional @stomp/stompjs; subscription DSL
3. WebSocket: raw socket with JSON framing
4. Each exports probe() for admin test-connection
5. inferFields() helper for schema discovery</t>
        </is>
      </c>
      <c r="H114" s="2" t="n">
        <v>8</v>
      </c>
      <c r="I114" s="2" t="inlineStr">
        <is>
          <t>High</t>
        </is>
      </c>
      <c r="J114" s="2" t="inlineStr">
        <is>
          <t>packages/shared/services/data-services</t>
        </is>
      </c>
      <c r="K114" s="4" t="inlineStr">
        <is>
          <t>Done</t>
        </is>
      </c>
    </row>
    <row r="115" ht="76" customHeight="1">
      <c r="A115" s="3" t="inlineStr">
        <is>
          <t>Story</t>
        </is>
      </c>
      <c r="B115" s="3" t="inlineStr">
        <is>
          <t>MG-114</t>
        </is>
      </c>
      <c r="C115" s="3" t="inlineStr">
        <is>
          <t>MG-E28</t>
        </is>
      </c>
      <c r="D115" s="3" t="inlineStr">
        <is>
          <t>Data Services Runtime</t>
        </is>
      </c>
      <c r="E115" s="3" t="inlineStr">
        <is>
          <t>Worker-owned AppData persistence + mirror</t>
        </is>
      </c>
      <c r="F115" s="3" t="inlineStr">
        <is>
          <t>Worker is sole IndexedDB writer for AppData; main-thread mirror reflects for fast lookups.</t>
        </is>
      </c>
      <c r="G115" s="3" t="inlineStr">
        <is>
          <t>1. WorkerAppDataStore writes to IndexedDB
2. Main-thread mirror reads from worker
3. No main-thread direct writes
4. Cross-tab updates fan out via worker broadcast
5. Bootstrap path eager-loads mirror before grid mount</t>
        </is>
      </c>
      <c r="H115" s="3" t="n">
        <v>5</v>
      </c>
      <c r="I115" s="3" t="inlineStr">
        <is>
          <t>Medium</t>
        </is>
      </c>
      <c r="J115" s="3" t="inlineStr">
        <is>
          <t>packages/shared/services/data-services</t>
        </is>
      </c>
      <c r="K115" s="4" t="inlineStr">
        <is>
          <t>Done</t>
        </is>
      </c>
    </row>
    <row r="116" ht="76" customHeight="1">
      <c r="A116" s="2" t="inlineStr">
        <is>
          <t>Story</t>
        </is>
      </c>
      <c r="B116" s="2" t="inlineStr">
        <is>
          <t>MG-115</t>
        </is>
      </c>
      <c r="C116" s="2" t="inlineStr">
        <is>
          <t>MG-E28</t>
        </is>
      </c>
      <c r="D116" s="2" t="inlineStr">
        <is>
          <t>Data Services Runtime</t>
        </is>
      </c>
      <c r="E116" s="2" t="inlineStr">
        <is>
          <t>DataServicesProvider (React) + provideDataServices (Angular)</t>
        </is>
      </c>
      <c r="F116" s="2" t="inlineStr">
        <is>
          <t>Provider mode eager|lazy; bootstrapDataServices() for vanilla; Angular DI mirror.</t>
        </is>
      </c>
      <c r="G116" s="2" t="inlineStr">
        <is>
          <t>1. Provider wires client + AppDataMirror into context
2. eager preloads streams; lazy defers
3. Hooks: useProviderStream/useProviderStats/useResolvedCfg/useAppDataStore/useDataProvidersList
4. Angular: provideDataServices factory + inject* helpers
5. Same worker shared across React + Angular consumers</t>
        </is>
      </c>
      <c r="H116" s="2" t="n">
        <v>5</v>
      </c>
      <c r="I116" s="2" t="inlineStr">
        <is>
          <t>High</t>
        </is>
      </c>
      <c r="J116" s="2" t="inlineStr">
        <is>
          <t>packages/shared/services/data-services</t>
        </is>
      </c>
      <c r="K116" s="4" t="inlineStr">
        <is>
          <t>Done</t>
        </is>
      </c>
    </row>
    <row r="117" ht="76" customHeight="1">
      <c r="A117" s="3" t="inlineStr">
        <is>
          <t>Story</t>
        </is>
      </c>
      <c r="B117" s="3" t="inlineStr">
        <is>
          <t>MG-116</t>
        </is>
      </c>
      <c r="C117" s="3" t="inlineStr">
        <is>
          <t>MG-E29</t>
        </is>
      </c>
      <c r="D117" s="3" t="inlineStr">
        <is>
          <t>Data Provider Editor</t>
        </is>
      </c>
      <c r="E117" s="3" t="inlineStr">
        <is>
          <t>Live + Historical provider forms</t>
        </is>
      </c>
      <c r="F117" s="3" t="inlineStr">
        <is>
          <t>Forms for Live (streaming) and Historical (REST as-of-date); STOMP / REST / mock subtypes.</t>
        </is>
      </c>
      <c r="G117" s="3" t="inlineStr">
        <is>
          <t>1. Form switches fields by subtype
2. Template strings allowed in URL/body
3. keyColumn picker (single or composite)
4. Test-connection button calls probe
5. Field inference button populates column list</t>
        </is>
      </c>
      <c r="H117" s="3" t="n">
        <v>8</v>
      </c>
      <c r="I117" s="3" t="inlineStr">
        <is>
          <t>High</t>
        </is>
      </c>
      <c r="J117" s="3" t="inlineStr">
        <is>
          <t>packages/react/widgets/widgets-react/src/v2/provider-editor, widgets-angular</t>
        </is>
      </c>
      <c r="K117" s="4" t="inlineStr">
        <is>
          <t>Done</t>
        </is>
      </c>
    </row>
    <row r="118" ht="76" customHeight="1">
      <c r="A118" s="2" t="inlineStr">
        <is>
          <t>Story</t>
        </is>
      </c>
      <c r="B118" s="2" t="inlineStr">
        <is>
          <t>MG-117</t>
        </is>
      </c>
      <c r="C118" s="2" t="inlineStr">
        <is>
          <t>MG-E29</t>
        </is>
      </c>
      <c r="D118" s="2" t="inlineStr">
        <is>
          <t>Data Provider Editor</t>
        </is>
      </c>
      <c r="E118" s="2" t="inlineStr">
        <is>
          <t>Provider configs as ConfigService rows</t>
        </is>
      </c>
      <c r="F118" s="2" t="inlineStr">
        <is>
          <t>componentType='data-provider' rows; admin manages through Config Browser.</t>
        </is>
      </c>
      <c r="G118" s="2" t="inlineStr">
        <is>
          <t>1. Save writes AppConfigRow with componentType='data-provider'
2. Identity-scoped per (appId, userId)
3. Admins see configs alongside layouts
4. Same role/visibility model
5. Export/import alongside other configs</t>
        </is>
      </c>
      <c r="H118" s="2" t="n">
        <v>5</v>
      </c>
      <c r="I118" s="2" t="inlineStr">
        <is>
          <t>Medium</t>
        </is>
      </c>
      <c r="J118" s="2" t="inlineStr">
        <is>
          <t>packages/react/widgets/widgets-react/src/v2/provider-editor, widgets-angular</t>
        </is>
      </c>
      <c r="K118" s="4" t="inlineStr">
        <is>
          <t>Done</t>
        </is>
      </c>
    </row>
    <row r="119" ht="76" customHeight="1">
      <c r="A119" s="3" t="inlineStr">
        <is>
          <t>Story</t>
        </is>
      </c>
      <c r="B119" s="3" t="inlineStr">
        <is>
          <t>MG-118</t>
        </is>
      </c>
      <c r="C119" s="3" t="inlineStr">
        <is>
          <t>MG-E29</t>
        </is>
      </c>
      <c r="D119" s="3" t="inlineStr">
        <is>
          <t>Data Provider Editor</t>
        </is>
      </c>
      <c r="E119" s="3" t="inlineStr">
        <is>
          <t>Field inference + keyColumn validation</t>
        </is>
      </c>
      <c r="F119" s="3" t="inlineStr">
        <is>
          <t>inferFields() returns column/type map; admin confirms before save. keyColumn must reference inferred field(s).</t>
        </is>
      </c>
      <c r="G119" s="3" t="inlineStr">
        <is>
          <t>1. Inference issues one read against provider
2. UI shows inferred fields; admin can rename/override
3. keyColumn picker references inferred fields only
4. Save validates keyColumn non-empty and references existing fields
5. Composite keyColumn supported</t>
        </is>
      </c>
      <c r="H119" s="3" t="n">
        <v>5</v>
      </c>
      <c r="I119" s="3" t="inlineStr">
        <is>
          <t>Medium</t>
        </is>
      </c>
      <c r="J119" s="3" t="inlineStr">
        <is>
          <t>packages/react/widgets/widgets-react/src/v2/provider-editor, widgets-angular</t>
        </is>
      </c>
      <c r="K119" s="4" t="inlineStr">
        <is>
          <t>Done</t>
        </is>
      </c>
    </row>
    <row r="120" ht="76" customHeight="1">
      <c r="A120" s="2" t="inlineStr">
        <is>
          <t>Story</t>
        </is>
      </c>
      <c r="B120" s="2" t="inlineStr">
        <is>
          <t>MG-119</t>
        </is>
      </c>
      <c r="C120" s="2" t="inlineStr">
        <is>
          <t>MG-E30</t>
        </is>
      </c>
      <c r="D120" s="2" t="inlineStr">
        <is>
          <t>Config Service Core</t>
        </is>
      </c>
      <c r="E120" s="2" t="inlineStr">
        <is>
          <t>ConfigClient (local + REST) + dual-mode</t>
        </is>
      </c>
      <c r="F120" s="2" t="inlineStr">
        <is>
          <t>createConfigClient() factory; LocalConfigClient (Dexie) + RestConfigClient (Dexie cache + REST).</t>
        </is>
      </c>
      <c r="G120" s="2" t="inlineStr">
        <is>
          <t>1. Local mode: zero-backend
2. REST mode: writes go to REST + Dexie write-through
3. Same client surface in both modes
4. health() returns latency + status
5. Bearer auth header supported in REST mode</t>
        </is>
      </c>
      <c r="H120" s="2" t="n">
        <v>8</v>
      </c>
      <c r="I120" s="2" t="inlineStr">
        <is>
          <t>High</t>
        </is>
      </c>
      <c r="J120" s="2" t="inlineStr">
        <is>
          <t>packages/shared/services/config-service</t>
        </is>
      </c>
      <c r="K120" s="4" t="inlineStr">
        <is>
          <t>Done</t>
        </is>
      </c>
    </row>
    <row r="121" ht="76" customHeight="1">
      <c r="A121" s="3" t="inlineStr">
        <is>
          <t>Story</t>
        </is>
      </c>
      <c r="B121" s="3" t="inlineStr">
        <is>
          <t>MG-120</t>
        </is>
      </c>
      <c r="C121" s="3" t="inlineStr">
        <is>
          <t>MG-E30</t>
        </is>
      </c>
      <c r="D121" s="3" t="inlineStr">
        <is>
          <t>Config Service Core</t>
        </is>
      </c>
      <c r="E121" s="3" t="inlineStr">
        <is>
          <t>Auth tables (AppRegistry / UserProfile / Role / Permission)</t>
        </is>
      </c>
      <c r="F121" s="3" t="inlineStr">
        <is>
          <t>Dexie schema + CRUD; owner/audit stamping; trim + normalization.</t>
        </is>
      </c>
      <c r="G121" s="3" t="inlineStr">
        <is>
          <t>1. Each table typed
2. version field for optimistic locking
3. createdBy/createdAt/updatedBy/updatedAt centralized
4. trim + normalization on every write
5. Schema migrations supported</t>
        </is>
      </c>
      <c r="H121" s="3" t="n">
        <v>8</v>
      </c>
      <c r="I121" s="3" t="inlineStr">
        <is>
          <t>High</t>
        </is>
      </c>
      <c r="J121" s="3" t="inlineStr">
        <is>
          <t>packages/shared/services/config-service</t>
        </is>
      </c>
      <c r="K121" s="4" t="inlineStr">
        <is>
          <t>Done</t>
        </is>
      </c>
    </row>
    <row r="122" ht="76" customHeight="1">
      <c r="A122" s="2" t="inlineStr">
        <is>
          <t>Story</t>
        </is>
      </c>
      <c r="B122" s="2" t="inlineStr">
        <is>
          <t>MG-121</t>
        </is>
      </c>
      <c r="C122" s="2" t="inlineStr">
        <is>
          <t>MG-E30</t>
        </is>
      </c>
      <c r="D122" s="2" t="inlineStr">
        <is>
          <t>Config Service Core</t>
        </is>
      </c>
      <c r="E122" s="2" t="inlineStr">
        <is>
          <t>Visibility rules + EffectiveUser (impersonation)</t>
        </is>
      </c>
      <c r="F122" s="2" t="inlineStr">
        <is>
          <t>isVisible(row, ctx); getEffectiveUser(ctx) merges impersonatedUser.</t>
        </is>
      </c>
      <c r="G122" s="2" t="inlineStr">
        <is>
          <t>1. row.isPublic + visibility lists evaluated against ApplicationContext
2. Read paths apply visibility filter
3. EffectiveUser used by impersonation without changing audit columns
4. Impersonation toggle restricted to authorized roles
5. Audit log records impersonation events</t>
        </is>
      </c>
      <c r="H122" s="2" t="n">
        <v>5</v>
      </c>
      <c r="I122" s="2" t="inlineStr">
        <is>
          <t>Medium</t>
        </is>
      </c>
      <c r="J122" s="2" t="inlineStr">
        <is>
          <t>packages/shared/services/config-service</t>
        </is>
      </c>
      <c r="K122" s="4" t="inlineStr">
        <is>
          <t>Done</t>
        </is>
      </c>
    </row>
    <row r="123" ht="76" customHeight="1">
      <c r="A123" s="3" t="inlineStr">
        <is>
          <t>Story</t>
        </is>
      </c>
      <c r="B123" s="3" t="inlineStr">
        <is>
          <t>MG-122</t>
        </is>
      </c>
      <c r="C123" s="3" t="inlineStr">
        <is>
          <t>MG-E31</t>
        </is>
      </c>
      <c r="D123" s="3" t="inlineStr">
        <is>
          <t>Config Browser Tools</t>
        </is>
      </c>
      <c r="E123" s="3" t="inlineStr">
        <is>
          <t>config-browser-react auth-table editors</t>
        </is>
      </c>
      <c r="F123" s="3" t="inlineStr">
        <is>
          <t>Editors + PermissionMatrix + RoleAssignmentMatrix + list polish.</t>
        </is>
      </c>
      <c r="G123" s="3" t="inlineStr">
        <is>
          <t>1. Each editor renders list + form
2. PermissionMatrix: roles × permissions grid
3. RoleAssignmentMatrix: users × roles
4. List polish: filter/sort/paginate/validate + optimistic-lock conflicts
5. Export all + admin one-shot bundle import</t>
        </is>
      </c>
      <c r="H123" s="3" t="n">
        <v>8</v>
      </c>
      <c r="I123" s="3" t="inlineStr">
        <is>
          <t>Medium</t>
        </is>
      </c>
      <c r="J123" s="3" t="inlineStr">
        <is>
          <t>packages/react/tools/config-browser-react, packages/angular/tools/config-browser-angular</t>
        </is>
      </c>
      <c r="K123" s="4" t="inlineStr">
        <is>
          <t>Done</t>
        </is>
      </c>
    </row>
    <row r="124" ht="76" customHeight="1">
      <c r="A124" s="2" t="inlineStr">
        <is>
          <t>Story</t>
        </is>
      </c>
      <c r="B124" s="2" t="inlineStr">
        <is>
          <t>MG-123</t>
        </is>
      </c>
      <c r="C124" s="2" t="inlineStr">
        <is>
          <t>MG-E31</t>
        </is>
      </c>
      <c r="D124" s="2" t="inlineStr">
        <is>
          <t>Config Browser Tools</t>
        </is>
      </c>
      <c r="E124" s="2" t="inlineStr">
        <is>
          <t>config-admin-web bundled with server</t>
        </is>
      </c>
      <c r="F124" s="2" t="inlineStr">
        <is>
          <t>config-admin-web SPA bundled inside config-service-server.</t>
        </is>
      </c>
      <c r="G124" s="2" t="inlineStr">
        <is>
          <t>1. /admin route serves bundled SPA
2. Bearer / OIDC at edge
3. Auth tables editable
4. Health endpoint accessible without auth
5. Single-command boot creates SQLite if needed</t>
        </is>
      </c>
      <c r="H124" s="2" t="n">
        <v>5</v>
      </c>
      <c r="I124" s="2" t="inlineStr">
        <is>
          <t>Medium</t>
        </is>
      </c>
      <c r="J124" s="2" t="inlineStr">
        <is>
          <t>packages/react/tools/config-browser-react, packages/angular/tools/config-browser-angular</t>
        </is>
      </c>
      <c r="K124" s="4" t="inlineStr">
        <is>
          <t>Done</t>
        </is>
      </c>
    </row>
    <row r="125" ht="62" customHeight="1">
      <c r="A125" s="3" t="inlineStr">
        <is>
          <t>Story</t>
        </is>
      </c>
      <c r="B125" s="3" t="inlineStr">
        <is>
          <t>MG-124</t>
        </is>
      </c>
      <c r="C125" s="3" t="inlineStr">
        <is>
          <t>MG-E32</t>
        </is>
      </c>
      <c r="D125" s="3" t="inlineStr">
        <is>
          <t>Runtime Port &amp; Host Wrappers</t>
        </is>
      </c>
      <c r="E125" s="3" t="inlineStr">
        <is>
          <t>RuntimePort interface (Seam #1)</t>
        </is>
      </c>
      <c r="F125" s="3" t="inlineStr">
        <is>
          <t>Pure types + interface: IdentitySnapshot, SurfaceHandle, Theme, etc.</t>
        </is>
      </c>
      <c r="G125" s="3" t="inlineStr">
        <is>
          <t>1. Foundation layer with no runtime deps
2. Covers identity, surface management, theme subscription
3. Implementations in runtime-browser and runtime-openfin
4. Consumers depend on port not impls</t>
        </is>
      </c>
      <c r="H125" s="3" t="n">
        <v>3</v>
      </c>
      <c r="I125" s="3" t="inlineStr">
        <is>
          <t>High</t>
        </is>
      </c>
      <c r="J125" s="3" t="inlineStr">
        <is>
          <t>packages/shared/runtime/*, packages/react/hosts, packages/angular/hosts</t>
        </is>
      </c>
      <c r="K125" s="4" t="inlineStr">
        <is>
          <t>Done</t>
        </is>
      </c>
    </row>
    <row r="126" ht="76" customHeight="1">
      <c r="A126" s="2" t="inlineStr">
        <is>
          <t>Story</t>
        </is>
      </c>
      <c r="B126" s="2" t="inlineStr">
        <is>
          <t>MG-125</t>
        </is>
      </c>
      <c r="C126" s="2" t="inlineStr">
        <is>
          <t>MG-E32</t>
        </is>
      </c>
      <c r="D126" s="2" t="inlineStr">
        <is>
          <t>Runtime Port &amp; Host Wrappers</t>
        </is>
      </c>
      <c r="E126" s="2" t="inlineStr">
        <is>
          <t>runtime-browser + runtime-openfin implementations</t>
        </is>
      </c>
      <c r="F126" s="2" t="inlineStr">
        <is>
          <t>Browser: URL params + prefers-color-scheme + window.open. OpenFin: fin.me + customData + Window APIs.</t>
        </is>
      </c>
      <c r="G126" s="2" t="inlineStr">
        <is>
          <t>1. Browser identity from URL params
2. Browser theme from prefers-color-scheme + [data-theme]
3. OpenFin identity from fin.me.getIdentity() + customData
4. OpenFin uses fin.Window.create for popouts
5. Both pass identical conformance test</t>
        </is>
      </c>
      <c r="H126" s="2" t="n">
        <v>5</v>
      </c>
      <c r="I126" s="2" t="inlineStr">
        <is>
          <t>High</t>
        </is>
      </c>
      <c r="J126" s="2" t="inlineStr">
        <is>
          <t>packages/shared/runtime/*, packages/react/hosts, packages/angular/hosts</t>
        </is>
      </c>
      <c r="K126" s="4" t="inlineStr">
        <is>
          <t>Done</t>
        </is>
      </c>
    </row>
    <row r="127" ht="90" customHeight="1">
      <c r="A127" s="3" t="inlineStr">
        <is>
          <t>Story</t>
        </is>
      </c>
      <c r="B127" s="3" t="inlineStr">
        <is>
          <t>MG-126</t>
        </is>
      </c>
      <c r="C127" s="3" t="inlineStr">
        <is>
          <t>MG-E32</t>
        </is>
      </c>
      <c r="D127" s="3" t="inlineStr">
        <is>
          <t>Runtime Port &amp; Host Wrappers</t>
        </is>
      </c>
      <c r="E127" s="3" t="inlineStr">
        <is>
          <t>HostWrapper React + Angular (Seam #2)</t>
        </is>
      </c>
      <c r="F127" s="3" t="inlineStr">
        <is>
          <t>Single component-side seam: identity, configManager, theme, runtime lifecycle.</t>
        </is>
      </c>
      <c r="G127" s="3" t="inlineStr">
        <is>
          <t>1. HostWrapper reads identity from RuntimePort
2. Subscribes to theme; updates data-theme
3. Triggers component save-config on unmount/close
4. React useHost() returns HostContextValue
5. Angular HostService exposes equivalents via RxJS
6. useHostedIdentity for direct identity props</t>
        </is>
      </c>
      <c r="H127" s="3" t="n">
        <v>5</v>
      </c>
      <c r="I127" s="3" t="inlineStr">
        <is>
          <t>High</t>
        </is>
      </c>
      <c r="J127" s="3" t="inlineStr">
        <is>
          <t>packages/shared/runtime/*, packages/react/hosts, packages/angular/hosts</t>
        </is>
      </c>
      <c r="K127" s="4" t="inlineStr">
        <is>
          <t>Done</t>
        </is>
      </c>
    </row>
    <row r="128" ht="76" customHeight="1">
      <c r="A128" s="2" t="inlineStr">
        <is>
          <t>Story</t>
        </is>
      </c>
      <c r="B128" s="2" t="inlineStr">
        <is>
          <t>MG-127</t>
        </is>
      </c>
      <c r="C128" s="2" t="inlineStr">
        <is>
          <t>MG-E32</t>
        </is>
      </c>
      <c r="D128" s="2" t="inlineStr">
        <is>
          <t>Runtime Port &amp; Host Wrappers</t>
        </is>
      </c>
      <c r="E128" s="2" t="inlineStr">
        <is>
          <t>component-host helpers</t>
        </is>
      </c>
      <c r="F128" s="2" t="inlineStr">
        <is>
          <t>readCustomData, resolveInstanceId, buildFallbackIdentity, subscribeToTheme/getCurrentTheme, onCloseRequested, createDebouncedSaver.</t>
        </is>
      </c>
      <c r="G128" s="2" t="inlineStr">
        <is>
          <t>1. resolveInstanceId loads config-service or clones on first launch
2. buildFallbackIdentity for dev mode
3. createDebouncedSaver writes config-service with throttle
4. Theme subscription via IAB.getTheme()
5. onCloseRequested fires before workspace close</t>
        </is>
      </c>
      <c r="H128" s="2" t="n">
        <v>3</v>
      </c>
      <c r="I128" s="2" t="inlineStr">
        <is>
          <t>Medium</t>
        </is>
      </c>
      <c r="J128" s="2" t="inlineStr">
        <is>
          <t>packages/shared/runtime/*, packages/react/hosts, packages/angular/hosts</t>
        </is>
      </c>
      <c r="K128" s="4" t="inlineStr">
        <is>
          <t>Done</t>
        </is>
      </c>
    </row>
    <row r="129" ht="76" customHeight="1">
      <c r="A129" s="3" t="inlineStr">
        <is>
          <t>Story</t>
        </is>
      </c>
      <c r="B129" s="3" t="inlineStr">
        <is>
          <t>MG-128</t>
        </is>
      </c>
      <c r="C129" s="3" t="inlineStr">
        <is>
          <t>MG-E33</t>
        </is>
      </c>
      <c r="D129" s="3" t="inlineStr">
        <is>
          <t>OpenFin Platform &amp; Workspace Integration</t>
        </is>
      </c>
      <c r="E129" s="3" t="inlineStr">
        <is>
          <t>Workspaces are ConfigService rows</t>
        </is>
      </c>
      <c r="F129" s="3" t="inlineStr">
        <is>
          <t>WorkspacePlatformOverrideCallback redirects workspace CRUD to ConfigService.</t>
        </is>
      </c>
      <c r="G129" s="3" t="inlineStr">
        <is>
          <t>1. Override callback wired during platform init
2. Workspace read/save/delete routed to configManager
3. Workspace rows componentType='workspace'
4. Same role/visibility + export/import as other configs
5. Admin tools see workspaces alongside layouts</t>
        </is>
      </c>
      <c r="H129" s="3" t="n">
        <v>8</v>
      </c>
      <c r="I129" s="3" t="inlineStr">
        <is>
          <t>High</t>
        </is>
      </c>
      <c r="J129" s="3" t="inlineStr">
        <is>
          <t>packages/shared/platform/openfin-platform</t>
        </is>
      </c>
      <c r="K129" s="4" t="inlineStr">
        <is>
          <t>Done</t>
        </is>
      </c>
    </row>
    <row r="130" ht="76" customHeight="1">
      <c r="A130" s="2" t="inlineStr">
        <is>
          <t>Story</t>
        </is>
      </c>
      <c r="B130" s="2" t="inlineStr">
        <is>
          <t>MG-129</t>
        </is>
      </c>
      <c r="C130" s="2" t="inlineStr">
        <is>
          <t>MG-E33</t>
        </is>
      </c>
      <c r="D130" s="2" t="inlineStr">
        <is>
          <t>OpenFin Platform &amp; Workspace Integration</t>
        </is>
      </c>
      <c r="E130" s="2" t="inlineStr">
        <is>
          <t>Awaited workspace-save fan-out</t>
        </is>
      </c>
      <c r="F130" s="2" t="inlineStr">
        <is>
          <t>marketsui-workspace-save-channel dispatches workspace-saving; each view awaits saveAll() before snapshot.</t>
        </is>
      </c>
      <c r="G130" s="2" t="inlineStr">
        <is>
          <t>1. Channel name: marketsui-workspace-save-channel
2. Save Workspace publishes workspace-saving message
3. Each view's handler calls marketsGrid.saveAll() and reports back
4. Platform.getSnapshot called AFTER all responses (or timeout)
5. Late responses logged; partial-save warning surfaced</t>
        </is>
      </c>
      <c r="H130" s="2" t="n">
        <v>8</v>
      </c>
      <c r="I130" s="2" t="inlineStr">
        <is>
          <t>High</t>
        </is>
      </c>
      <c r="J130" s="2" t="inlineStr">
        <is>
          <t>packages/shared/platform/openfin-platform</t>
        </is>
      </c>
      <c r="K130" s="4" t="inlineStr">
        <is>
          <t>Done</t>
        </is>
      </c>
    </row>
    <row r="131" ht="76" customHeight="1">
      <c r="A131" s="3" t="inlineStr">
        <is>
          <t>Story</t>
        </is>
      </c>
      <c r="B131" s="3" t="inlineStr">
        <is>
          <t>MG-130</t>
        </is>
      </c>
      <c r="C131" s="3" t="inlineStr">
        <is>
          <t>MG-E33</t>
        </is>
      </c>
      <c r="D131" s="3" t="inlineStr">
        <is>
          <t>OpenFin Platform &amp; Workspace Integration</t>
        </is>
      </c>
      <c r="E131" s="3" t="inlineStr">
        <is>
          <t>Per-view customData with active layout id</t>
        </is>
      </c>
      <c r="F131" s="3" t="inlineStr">
        <is>
          <t>Each OpenFin view stamps active layout id onto customData. Round-trips through snapshots.</t>
        </is>
      </c>
      <c r="G131" s="3" t="inlineStr">
        <is>
          <t>1. Active layout id written to fin.me.customData.activeProfileId on every switch
2. Platform.getSnapshot captures customData including activeProfileId
3. Workspace restore reopens views with original activeProfileId
4. Two duplicate views can show different layouts
5. Browser fallback: localStorage pointer</t>
        </is>
      </c>
      <c r="H131" s="3" t="n">
        <v>5</v>
      </c>
      <c r="I131" s="3" t="inlineStr">
        <is>
          <t>High</t>
        </is>
      </c>
      <c r="J131" s="3" t="inlineStr">
        <is>
          <t>packages/shared/platform/openfin-platform</t>
        </is>
      </c>
      <c r="K131" s="4" t="inlineStr">
        <is>
          <t>Done</t>
        </is>
      </c>
    </row>
    <row r="132" ht="76" customHeight="1">
      <c r="A132" s="2" t="inlineStr">
        <is>
          <t>Story</t>
        </is>
      </c>
      <c r="B132" s="2" t="inlineStr">
        <is>
          <t>MG-131</t>
        </is>
      </c>
      <c r="C132" s="2" t="inlineStr">
        <is>
          <t>MG-E33</t>
        </is>
      </c>
      <c r="D132" s="2" t="inlineStr">
        <is>
          <t>OpenFin Platform &amp; Workspace Integration</t>
        </is>
      </c>
      <c r="E132" s="2" t="inlineStr">
        <is>
          <t>Dock buttons + IAB topics + launchRegisteredComponent</t>
        </is>
      </c>
      <c r="F132" s="2" t="inlineStr">
        <is>
          <t>updateDockButtons + IAB_REGISTRY_CONFIG_UPDATE/IAB_THEME_CHANGED. launchRegisteredComponent mints instanceId, pre-clones template.</t>
        </is>
      </c>
      <c r="G132" s="2" t="inlineStr">
        <is>
          <t>1. updateDockButtons populates OpenFin dock from registry
2. IAB_REGISTRY_CONFIG_UPDATE broadcasts registry changes
3. IAB_THEME_CHANGED broadcasts theme changes
4. launchRegisteredComponent: mint instanceId → pre-clone template → open view with customData carrying {instanceId, appId, userId, registeredIdentity}
5. Views pick up identity via useHostedIdentity</t>
        </is>
      </c>
      <c r="H132" s="2" t="n">
        <v>8</v>
      </c>
      <c r="I132" s="2" t="inlineStr">
        <is>
          <t>High</t>
        </is>
      </c>
      <c r="J132" s="2" t="inlineStr">
        <is>
          <t>packages/shared/platform/openfin-platform</t>
        </is>
      </c>
      <c r="K132" s="4" t="inlineStr">
        <is>
          <t>Done</t>
        </is>
      </c>
    </row>
    <row r="133" ht="76" customHeight="1">
      <c r="A133" s="3" t="inlineStr">
        <is>
          <t>Story</t>
        </is>
      </c>
      <c r="B133" s="3" t="inlineStr">
        <is>
          <t>MG-132</t>
        </is>
      </c>
      <c r="C133" s="3" t="inlineStr">
        <is>
          <t>MG-E33</t>
        </is>
      </c>
      <c r="D133" s="3" t="inlineStr">
        <is>
          <t>OpenFin Platform &amp; Workspace Integration</t>
        </is>
      </c>
      <c r="E133" s="3" t="inlineStr">
        <is>
          <t>Identity flow top-down (customData → useHostedIdentity → props → cache keys)</t>
        </is>
      </c>
      <c r="F133" s="3" t="inlineStr">
        <is>
          <t>View picks up identity from customData; passes to MarketsGrid; propagates into ConfigService + AppData + worker cache.</t>
        </is>
      </c>
      <c r="G133" s="3" t="inlineStr">
        <is>
          <t>1. useHostedIdentity reads customData on mount
2. Identity passed to HostedMarketsGrid → MarketsGrid
3. ConfigService writes use exact tuple
4. AppData scoped per (appId, userId)
5. Worker cache keys include identity for cross-window sharing</t>
        </is>
      </c>
      <c r="H133" s="3" t="n">
        <v>5</v>
      </c>
      <c r="I133" s="3" t="inlineStr">
        <is>
          <t>High</t>
        </is>
      </c>
      <c r="J133" s="3" t="inlineStr">
        <is>
          <t>packages/shared/platform/openfin-platform</t>
        </is>
      </c>
      <c r="K133" s="4" t="inlineStr">
        <is>
          <t>Done</t>
        </is>
      </c>
    </row>
    <row r="134" ht="76" customHeight="1">
      <c r="A134" s="2" t="inlineStr">
        <is>
          <t>Story</t>
        </is>
      </c>
      <c r="B134" s="2" t="inlineStr">
        <is>
          <t>MG-133</t>
        </is>
      </c>
      <c r="C134" s="2" t="inlineStr">
        <is>
          <t>MG-E33</t>
        </is>
      </c>
      <c r="D134" s="2" t="inlineStr">
        <is>
          <t>OpenFin Platform &amp; Workspace Integration</t>
        </is>
      </c>
      <c r="E134" s="2" t="inlineStr">
        <is>
          <t>Workspace GC for orphan layout rows</t>
        </is>
      </c>
      <c r="F134" s="2" t="inlineStr">
        <is>
          <t>Background job drops layout rows not referenced by any workspace.</t>
        </is>
      </c>
      <c r="G134" s="2" t="inlineStr">
        <is>
          <t>1. Job enumerates workspaces and collects referenced instanceIds
2. Orphan layout rows flagged
3. Configurable grace window before delete (e.g. 30 days)
4. Dry-run mode reports without deleting
5. Audit log records GC runs</t>
        </is>
      </c>
      <c r="H134" s="2" t="n">
        <v>5</v>
      </c>
      <c r="I134" s="2" t="inlineStr">
        <is>
          <t>Medium</t>
        </is>
      </c>
      <c r="J134" s="2" t="inlineStr">
        <is>
          <t>packages/shared/platform/openfin-platform</t>
        </is>
      </c>
      <c r="K134" s="5" t="inlineStr">
        <is>
          <t>Not Started</t>
        </is>
      </c>
    </row>
    <row r="135" ht="76" customHeight="1">
      <c r="A135" s="3" t="inlineStr">
        <is>
          <t>Story</t>
        </is>
      </c>
      <c r="B135" s="3" t="inlineStr">
        <is>
          <t>MG-134</t>
        </is>
      </c>
      <c r="C135" s="3" t="inlineStr">
        <is>
          <t>MG-E34</t>
        </is>
      </c>
      <c r="D135" s="3" t="inlineStr">
        <is>
          <t>Widget SDK &amp; Hosted Widgets</t>
        </is>
      </c>
      <c r="E135" s="3" t="inlineStr">
        <is>
          <t>@starui/widget-sdk contract</t>
        </is>
      </c>
      <c r="F135" s="3" t="inlineStr">
        <is>
          <t>useWidget / WidgetHost / PlatformAdapter.</t>
        </is>
      </c>
      <c r="G135" s="3" t="inlineStr">
        <is>
          <t>1. useWidget exposes identity, configManager, save, runtime
2. WidgetHost composes HostWrapper + DataServicesProvider + ConfigServiceProvider
3. PlatformAdapter abstracts FDC3/IAB/color-linking
4. Consumers ship single component; host wires services
5. Peer deps: React 19, @tanstack/react-query 5</t>
        </is>
      </c>
      <c r="H135" s="3" t="n">
        <v>5</v>
      </c>
      <c r="I135" s="3" t="inlineStr">
        <is>
          <t>Medium</t>
        </is>
      </c>
      <c r="J135" s="3" t="inlineStr">
        <is>
          <t>packages/react/sdk/widget-sdk, packages/react/widgets/widgets-react/hosted</t>
        </is>
      </c>
      <c r="K135" s="4" t="inlineStr">
        <is>
          <t>Done</t>
        </is>
      </c>
    </row>
    <row r="136" ht="76" customHeight="1">
      <c r="A136" s="2" t="inlineStr">
        <is>
          <t>Story</t>
        </is>
      </c>
      <c r="B136" s="2" t="inlineStr">
        <is>
          <t>MG-135</t>
        </is>
      </c>
      <c r="C136" s="2" t="inlineStr">
        <is>
          <t>MG-E34</t>
        </is>
      </c>
      <c r="D136" s="2" t="inlineStr">
        <is>
          <t>Widget SDK &amp; Hosted Widgets</t>
        </is>
      </c>
      <c r="E136" s="2" t="inlineStr">
        <is>
          <t>HostedMarketsGrid + workspace save</t>
        </is>
      </c>
      <c r="F136" s="2" t="inlineStr">
        <is>
          <t>OpenFin-aware wrapper integrating workspace save event, FDC3, IAB, color linking.</t>
        </is>
      </c>
      <c r="G136" s="2" t="inlineStr">
        <is>
          <t>1. useHostedView resolves OpenFin view identity
2. useAgGridTheme applies platform theme
3. useWorkspaceSaveEvent triggers profile save on workspace-saving (via saveAll())
4. useFdc3Channel broadcasts/receives instrument context
5. useColorLinking publishes/subscribes to IAB color channel</t>
        </is>
      </c>
      <c r="H136" s="2" t="n">
        <v>8</v>
      </c>
      <c r="I136" s="2" t="inlineStr">
        <is>
          <t>High</t>
        </is>
      </c>
      <c r="J136" s="2" t="inlineStr">
        <is>
          <t>packages/react/sdk/widget-sdk, packages/react/widgets/widgets-react/hosted</t>
        </is>
      </c>
      <c r="K136" s="4" t="inlineStr">
        <is>
          <t>Done</t>
        </is>
      </c>
    </row>
    <row r="137" ht="76" customHeight="1">
      <c r="A137" s="3" t="inlineStr">
        <is>
          <t>Story</t>
        </is>
      </c>
      <c r="B137" s="3" t="inlineStr">
        <is>
          <t>MG-136</t>
        </is>
      </c>
      <c r="C137" s="3" t="inlineStr">
        <is>
          <t>MG-E34</t>
        </is>
      </c>
      <c r="D137" s="3" t="inlineStr">
        <is>
          <t>Widget SDK &amp; Hosted Widgets</t>
        </is>
      </c>
      <c r="E137" s="3" t="inlineStr">
        <is>
          <t>Blotter + v2 widget primitives</t>
        </is>
      </c>
      <c r="F137" s="3" t="inlineStr">
        <is>
          <t>BlotterProvider + Blotter UI; v2 data-provider-editor / data-provider-selector.</t>
        </is>
      </c>
      <c r="G137" s="3" t="inlineStr">
        <is>
          <t>1. BlotterProvider exposes rows from data-services stream
2. Blotter consumes MarketsGrid as render target
3. Provider editor renders config form for REST/STOMP/WebSocket
4. data-provider-selector lists known providers
5. v2 submodules at @starui/widgets-react/v2/*</t>
        </is>
      </c>
      <c r="H137" s="3" t="n">
        <v>5</v>
      </c>
      <c r="I137" s="3" t="inlineStr">
        <is>
          <t>Medium</t>
        </is>
      </c>
      <c r="J137" s="3" t="inlineStr">
        <is>
          <t>packages/react/sdk/widget-sdk, packages/react/widgets/widgets-react/hosted</t>
        </is>
      </c>
      <c r="K137" s="4" t="inlineStr">
        <is>
          <t>Done</t>
        </is>
      </c>
    </row>
    <row r="138" ht="76" customHeight="1">
      <c r="A138" s="2" t="inlineStr">
        <is>
          <t>Story</t>
        </is>
      </c>
      <c r="B138" s="2" t="inlineStr">
        <is>
          <t>MG-137</t>
        </is>
      </c>
      <c r="C138" s="2" t="inlineStr">
        <is>
          <t>MG-E35</t>
        </is>
      </c>
      <c r="D138" s="2" t="inlineStr">
        <is>
          <t>shadcn UI Library</t>
        </is>
      </c>
      <c r="E138" s="2" t="inlineStr">
        <is>
          <t>Radix primitive wrappers (30+)</t>
        </is>
      </c>
      <c r="F138" s="2" t="inlineStr">
        <is>
          <t>Accordion through Tooltip, all themed via design-system.</t>
        </is>
      </c>
      <c r="G138" s="2" t="inlineStr">
        <is>
          <t>1. Each primitive wraps Radix with design-system className helpers
2. Variants via class-variance-authority
3. Dark/light parity
4. Re-exported through grid-react for legacy import paths
5. Backed by tailwind-config preset</t>
        </is>
      </c>
      <c r="H138" s="2" t="n">
        <v>5</v>
      </c>
      <c r="I138" s="2" t="inlineStr">
        <is>
          <t>Medium</t>
        </is>
      </c>
      <c r="J138" s="2" t="inlineStr">
        <is>
          <t>packages/react/ui</t>
        </is>
      </c>
      <c r="K138" s="4" t="inlineStr">
        <is>
          <t>Done</t>
        </is>
      </c>
    </row>
    <row r="139" ht="76" customHeight="1">
      <c r="A139" s="3" t="inlineStr">
        <is>
          <t>Story</t>
        </is>
      </c>
      <c r="B139" s="3" t="inlineStr">
        <is>
          <t>MG-138</t>
        </is>
      </c>
      <c r="C139" s="3" t="inlineStr">
        <is>
          <t>MG-E35</t>
        </is>
      </c>
      <c r="D139" s="3" t="inlineStr">
        <is>
          <t>shadcn UI Library</t>
        </is>
      </c>
      <c r="E139" s="3" t="inlineStr">
        <is>
          <t>Composite primitives (chart/form/toast/command/calendar/resizable/modal)</t>
        </is>
      </c>
      <c r="F139" s="3" t="inlineStr">
        <is>
          <t>recharts, react-hook-form, sonner, cmdk, react-day-picker, react-resizable-panels, vaul, embla-carousel-react.</t>
        </is>
      </c>
      <c r="G139" s="3" t="inlineStr">
        <is>
          <t>1. Chart subpath exports recharts theme + axis defaults
2. Form helpers wrap react-hook-form with design-system inputs
3. Toast uses sonner with token-driven styling
4. Command palette uses cmdk
5. Calendar uses --ds-* tokens</t>
        </is>
      </c>
      <c r="H139" s="3" t="n">
        <v>5</v>
      </c>
      <c r="I139" s="3" t="inlineStr">
        <is>
          <t>Medium</t>
        </is>
      </c>
      <c r="J139" s="3" t="inlineStr">
        <is>
          <t>packages/react/ui</t>
        </is>
      </c>
      <c r="K139" s="4" t="inlineStr">
        <is>
          <t>Done</t>
        </is>
      </c>
    </row>
    <row r="140" ht="76" customHeight="1">
      <c r="A140" s="2" t="inlineStr">
        <is>
          <t>Story</t>
        </is>
      </c>
      <c r="B140" s="2" t="inlineStr">
        <is>
          <t>MG-139</t>
        </is>
      </c>
      <c r="C140" s="2" t="inlineStr">
        <is>
          <t>MG-E36</t>
        </is>
      </c>
      <c r="D140" s="2" t="inlineStr">
        <is>
          <t>Angular Infrastructure (parity prerequisites)</t>
        </is>
      </c>
      <c r="E140" s="2" t="inlineStr">
        <is>
          <t>config-service-angular</t>
        </is>
      </c>
      <c r="F140" s="2" t="inlineStr">
        <is>
          <t>Angular client for ConfigService scoped by (appId, userId, instanceId).</t>
        </is>
      </c>
      <c r="G140" s="2" t="inlineStr">
        <is>
          <t>1. provideConfigService(opts) DI factory
2. ConfigServiceClient injectable
3. Same CRUD surface as React client
4. Identity tokens injectable separately
5. Tree-shake friendly</t>
        </is>
      </c>
      <c r="H140" s="2" t="n">
        <v>5</v>
      </c>
      <c r="I140" s="2" t="inlineStr">
        <is>
          <t>Medium</t>
        </is>
      </c>
      <c r="J140" s="2" t="inlineStr">
        <is>
          <t>packages/angular/*</t>
        </is>
      </c>
      <c r="K140" s="4" t="inlineStr">
        <is>
          <t>Done</t>
        </is>
      </c>
    </row>
    <row r="141" ht="76" customHeight="1">
      <c r="A141" s="3" t="inlineStr">
        <is>
          <t>Story</t>
        </is>
      </c>
      <c r="B141" s="3" t="inlineStr">
        <is>
          <t>MG-140</t>
        </is>
      </c>
      <c r="C141" s="3" t="inlineStr">
        <is>
          <t>MG-E36</t>
        </is>
      </c>
      <c r="D141" s="3" t="inlineStr">
        <is>
          <t>Angular Infrastructure (parity prerequisites)</t>
        </is>
      </c>
      <c r="E141" s="3" t="inlineStr">
        <is>
          <t>data-services-angular</t>
        </is>
      </c>
      <c r="F141" s="3" t="inlineStr">
        <is>
          <t>Angular bindings around the SharedWorker runtime. Same worker as React.</t>
        </is>
      </c>
      <c r="G141" s="3" t="inlineStr">
        <is>
          <t>1. provideDataServices(opts) DI factory
2. DataServicesService injectable
3. injectAppData/injectProviderStream/injectResolvedCfg/injectDataProviderConfig helpers
4. RxJS observables
5. Angular + React views share one cached subscription per provider</t>
        </is>
      </c>
      <c r="H141" s="3" t="n">
        <v>5</v>
      </c>
      <c r="I141" s="3" t="inlineStr">
        <is>
          <t>Medium</t>
        </is>
      </c>
      <c r="J141" s="3" t="inlineStr">
        <is>
          <t>packages/angular/*</t>
        </is>
      </c>
      <c r="K141" s="4" t="inlineStr">
        <is>
          <t>Done</t>
        </is>
      </c>
    </row>
    <row r="142" ht="76" customHeight="1">
      <c r="A142" s="2" t="inlineStr">
        <is>
          <t>Story</t>
        </is>
      </c>
      <c r="B142" s="2" t="inlineStr">
        <is>
          <t>MG-141</t>
        </is>
      </c>
      <c r="C142" s="2" t="inlineStr">
        <is>
          <t>MG-E36</t>
        </is>
      </c>
      <c r="D142" s="2" t="inlineStr">
        <is>
          <t>Angular Infrastructure (parity prerequisites)</t>
        </is>
      </c>
      <c r="E142" s="2" t="inlineStr">
        <is>
          <t>host-wrapper-angular</t>
        </is>
      </c>
      <c r="F142" s="2" t="inlineStr">
        <is>
          <t>Reads identity from OpenFin customData; exposes via DI.</t>
        </is>
      </c>
      <c r="G142" s="2" t="inlineStr">
        <is>
          <t>1. HostService injectable
2. provideHost factory
3. Identity DI tokens (APP_ID/USER_ID/INSTANCE_ID/REGISTERED_IDENTITY)
4. Theme$ observable
5. Wires config-service-angular and data-services-angular</t>
        </is>
      </c>
      <c r="H142" s="2" t="n">
        <v>5</v>
      </c>
      <c r="I142" s="2" t="inlineStr">
        <is>
          <t>Medium</t>
        </is>
      </c>
      <c r="J142" s="2" t="inlineStr">
        <is>
          <t>packages/angular/*</t>
        </is>
      </c>
      <c r="K142" s="4" t="inlineStr">
        <is>
          <t>Done</t>
        </is>
      </c>
    </row>
    <row r="143" ht="76" customHeight="1">
      <c r="A143" s="3" t="inlineStr">
        <is>
          <t>Story</t>
        </is>
      </c>
      <c r="B143" s="3" t="inlineStr">
        <is>
          <t>MG-142</t>
        </is>
      </c>
      <c r="C143" s="3" t="inlineStr">
        <is>
          <t>MG-E36</t>
        </is>
      </c>
      <c r="D143" s="3" t="inlineStr">
        <is>
          <t>Angular Infrastructure (parity prerequisites)</t>
        </is>
      </c>
      <c r="E143" s="3" t="inlineStr">
        <is>
          <t>widgets-angular: DockConfigurator + DataProviderEditor</t>
        </is>
      </c>
      <c r="F143" s="3" t="inlineStr">
        <is>
          <t>Dock layout editor + provider config forms.</t>
        </is>
      </c>
      <c r="G143" s="3" t="inlineStr">
        <is>
          <t>1. DockConfigurator with reorder/resize handles
2. DataProviderEditor with subtype-specific fields
3. PrimeNG primitives themed via @starui/tokens-primeng
4. AG Grid Angular for tabular displays
5. Writes to same ConfigService rows React reads</t>
        </is>
      </c>
      <c r="H143" s="3" t="n">
        <v>8</v>
      </c>
      <c r="I143" s="3" t="inlineStr">
        <is>
          <t>Medium</t>
        </is>
      </c>
      <c r="J143" s="3" t="inlineStr">
        <is>
          <t>packages/angular/*</t>
        </is>
      </c>
      <c r="K143" s="4" t="inlineStr">
        <is>
          <t>Done</t>
        </is>
      </c>
    </row>
    <row r="144" ht="76" customHeight="1">
      <c r="A144" s="2" t="inlineStr">
        <is>
          <t>Story</t>
        </is>
      </c>
      <c r="B144" s="2" t="inlineStr">
        <is>
          <t>MG-143</t>
        </is>
      </c>
      <c r="C144" s="2" t="inlineStr">
        <is>
          <t>MG-E36</t>
        </is>
      </c>
      <c r="D144" s="2" t="inlineStr">
        <is>
          <t>Angular Infrastructure (parity prerequisites)</t>
        </is>
      </c>
      <c r="E144" s="2" t="inlineStr">
        <is>
          <t>config-browser-angular</t>
        </is>
      </c>
      <c r="F144" s="2" t="inlineStr">
        <is>
          <t>Angular Config Browser showing same AppConfigRow tables as React.</t>
        </is>
      </c>
      <c r="G144" s="2" t="inlineStr">
        <is>
          <t>1. Editors mirror React tool feature set
2. PrimeNG themed via tokens-primeng
3. Uses provideConfigService for DI
4. Routes mirror React tool
5. PermissionMatrix + RoleAssignmentMatrix included</t>
        </is>
      </c>
      <c r="H144" s="2" t="n">
        <v>5</v>
      </c>
      <c r="I144" s="2" t="inlineStr">
        <is>
          <t>Medium</t>
        </is>
      </c>
      <c r="J144" s="2" t="inlineStr">
        <is>
          <t>packages/angular/*</t>
        </is>
      </c>
      <c r="K144" s="4" t="inlineStr">
        <is>
          <t>Done</t>
        </is>
      </c>
    </row>
    <row r="145" ht="90" customHeight="1">
      <c r="A145" s="3" t="inlineStr">
        <is>
          <t>Story</t>
        </is>
      </c>
      <c r="B145" s="3" t="inlineStr">
        <is>
          <t>MG-144</t>
        </is>
      </c>
      <c r="C145" s="3" t="inlineStr">
        <is>
          <t>MG-E37</t>
        </is>
      </c>
      <c r="D145" s="3" t="inlineStr">
        <is>
          <t>Angular MarketsGrid — Core Widget</t>
        </is>
      </c>
      <c r="E145" s="3" t="inlineStr">
        <is>
          <t>Angular component skeleton + AgGridAngular wrapper</t>
        </is>
      </c>
      <c r="F145" s="3" t="inlineStr">
        <is>
          <t>&lt;starui-markets-grid&gt; wraps AgGridAngular with platform-aware lifecycle.</t>
        </is>
      </c>
      <c r="G145" s="3" t="inlineStr">
        <is>
          <t>1. Component renders AgGridAngular with provided inputs
2. gridId scopes layout storage
3. modules defaults to DEFAULT_MODULES (9 modules)
4. Theme input accepts AG-Grid theme objects
5. ngOnDestroy releases platform + ResourceScope cleanly
6. Strict-mode safe under Angular dev mode</t>
        </is>
      </c>
      <c r="H145" s="3" t="n">
        <v>8</v>
      </c>
      <c r="I145" s="3" t="inlineStr">
        <is>
          <t>High</t>
        </is>
      </c>
      <c r="J145" s="3" t="inlineStr">
        <is>
          <t>packages/angular/widgets/markets-grid-angular (roadmap)</t>
        </is>
      </c>
      <c r="K145" s="5" t="inlineStr">
        <is>
          <t>Not Started</t>
        </is>
      </c>
    </row>
    <row r="146" ht="76" customHeight="1">
      <c r="A146" s="2" t="inlineStr">
        <is>
          <t>Story</t>
        </is>
      </c>
      <c r="B146" s="2" t="inlineStr">
        <is>
          <t>MG-145</t>
        </is>
      </c>
      <c r="C146" s="2" t="inlineStr">
        <is>
          <t>MG-E37</t>
        </is>
      </c>
      <c r="D146" s="2" t="inlineStr">
        <is>
          <t>Angular MarketsGrid — Core Widget</t>
        </is>
      </c>
      <c r="E146" s="2" t="inlineStr">
        <is>
          <t>Angular imperative API (ViewChild + saveAll())</t>
        </is>
      </c>
      <c r="F146" s="2" t="inlineStr">
        <is>
          <t>Same surface as React MarketsGridHandle.</t>
        </is>
      </c>
      <c r="G146" s="2" t="inlineStr">
        <is>
          <t>1. ViewChild gives access to gridApi, platform, profiles, saveAll()
2. saveAll() returns Promise that resolves after persist
3. readyEvent emits once after grid-ready + platform-mount + layout-applied
4. Used by HostedMarketsGridAngular for workspace-save
5. Signature documented and stable</t>
        </is>
      </c>
      <c r="H146" s="2" t="n">
        <v>5</v>
      </c>
      <c r="I146" s="2" t="inlineStr">
        <is>
          <t>High</t>
        </is>
      </c>
      <c r="J146" s="2" t="inlineStr">
        <is>
          <t>packages/angular/widgets/markets-grid-angular (roadmap)</t>
        </is>
      </c>
      <c r="K146" s="5" t="inlineStr">
        <is>
          <t>Not Started</t>
        </is>
      </c>
    </row>
    <row r="147" ht="76" customHeight="1">
      <c r="A147" s="3" t="inlineStr">
        <is>
          <t>Story</t>
        </is>
      </c>
      <c r="B147" s="3" t="inlineStr">
        <is>
          <t>MG-146</t>
        </is>
      </c>
      <c r="C147" s="3" t="inlineStr">
        <is>
          <t>MG-E37</t>
        </is>
      </c>
      <c r="D147" s="3" t="inlineStr">
        <is>
          <t>Angular MarketsGrid — Core Widget</t>
        </is>
      </c>
      <c r="E147" s="3" t="inlineStr">
        <is>
          <t>Angular editable caption + tabsHidden</t>
        </is>
      </c>
      <c r="F147" s="3" t="inlineStr">
        <is>
          <t>Inline editable caption visible when tabsHidden=true; pencil reveals on hover.</t>
        </is>
      </c>
      <c r="G147" s="3" t="inlineStr">
        <is>
          <t>1. tabsHidden=true renders caption above toolbar with hover pencil
2. Click pencil/caption → inline edit (FormControl)
3. Commit emits captionChange output
4. Caption hidden when OpenFin tab strip visible
5. Escapes HTML; uses tokens-primeng typography</t>
        </is>
      </c>
      <c r="H147" s="3" t="n">
        <v>3</v>
      </c>
      <c r="I147" s="3" t="inlineStr">
        <is>
          <t>Medium</t>
        </is>
      </c>
      <c r="J147" s="3" t="inlineStr">
        <is>
          <t>packages/angular/widgets/markets-grid-angular (roadmap)</t>
        </is>
      </c>
      <c r="K147" s="5" t="inlineStr">
        <is>
          <t>Not Started</t>
        </is>
      </c>
    </row>
    <row r="148" ht="76" customHeight="1">
      <c r="A148" s="2" t="inlineStr">
        <is>
          <t>Story</t>
        </is>
      </c>
      <c r="B148" s="2" t="inlineStr">
        <is>
          <t>MG-147</t>
        </is>
      </c>
      <c r="C148" s="2" t="inlineStr">
        <is>
          <t>MG-E37</t>
        </is>
      </c>
      <c r="D148" s="2" t="inlineStr">
        <is>
          <t>Angular MarketsGrid — Core Widget</t>
        </is>
      </c>
      <c r="E148" s="2" t="inlineStr">
        <is>
          <t>Angular save button with dirty glow + flash checkmark</t>
        </is>
      </c>
      <c r="F148" s="2" t="inlineStr">
        <is>
          <t>Glow when isDirty; checkmark for 600 ms after save.</t>
        </is>
      </c>
      <c r="G148" s="2" t="inlineStr">
        <is>
          <t>1. Visually emphasized button when unsaved
2. Click triggers saveAll() and toggles state
3. Checkmark replaces icon for 600 ms
4. savingChange emits true|false
5. Disabled during in-flight save</t>
        </is>
      </c>
      <c r="H148" s="2" t="n">
        <v>3</v>
      </c>
      <c r="I148" s="2" t="inlineStr">
        <is>
          <t>Medium</t>
        </is>
      </c>
      <c r="J148" s="2" t="inlineStr">
        <is>
          <t>packages/angular/widgets/markets-grid-angular (roadmap)</t>
        </is>
      </c>
      <c r="K148" s="5" t="inlineStr">
        <is>
          <t>Not Started</t>
        </is>
      </c>
    </row>
    <row r="149" ht="76" customHeight="1">
      <c r="A149" s="3" t="inlineStr">
        <is>
          <t>Story</t>
        </is>
      </c>
      <c r="B149" s="3" t="inlineStr">
        <is>
          <t>MG-148</t>
        </is>
      </c>
      <c r="C149" s="3" t="inlineStr">
        <is>
          <t>MG-E37</t>
        </is>
      </c>
      <c r="D149" s="3" t="inlineStr">
        <is>
          <t>Angular MarketsGrid — Core Widget</t>
        </is>
      </c>
      <c r="E149" s="3" t="inlineStr">
        <is>
          <t>Angular toolbar visibility flags + admin actions</t>
        </is>
      </c>
      <c r="F149" s="3" t="inlineStr">
        <is>
          <t>Independent toolbar/save/settings/profile flags + adminActions[].</t>
        </is>
      </c>
      <c r="G149" s="3" t="inlineStr">
        <is>
          <t>1. Each flag toggles surface independently
2. adminActions render as icon buttons; same shape as React
3. Icon preset catalog matches React
4. testid admin-action-{id}
5. Async onClick supported (Observable or Promise)</t>
        </is>
      </c>
      <c r="H149" s="3" t="n">
        <v>3</v>
      </c>
      <c r="I149" s="3" t="inlineStr">
        <is>
          <t>Medium</t>
        </is>
      </c>
      <c r="J149" s="3" t="inlineStr">
        <is>
          <t>packages/angular/widgets/markets-grid-angular (roadmap)</t>
        </is>
      </c>
      <c r="K149" s="5" t="inlineStr">
        <is>
          <t>Not Started</t>
        </is>
      </c>
    </row>
    <row r="150" ht="76" customHeight="1">
      <c r="A150" s="2" t="inlineStr">
        <is>
          <t>Story</t>
        </is>
      </c>
      <c r="B150" s="2" t="inlineStr">
        <is>
          <t>MG-149</t>
        </is>
      </c>
      <c r="C150" s="2" t="inlineStr">
        <is>
          <t>MG-E37</t>
        </is>
      </c>
      <c r="D150" s="2" t="inlineStr">
        <is>
          <t>Angular MarketsGrid — Core Widget</t>
        </is>
      </c>
      <c r="E150" s="2" t="inlineStr">
        <is>
          <t>Angular info popover</t>
        </is>
      </c>
      <c r="F150" s="2" t="inlineStr">
        <is>
          <t>ⓘ popover with identity tuple + active layout for support.</t>
        </is>
      </c>
      <c r="G150" s="2" t="inlineStr">
        <is>
          <t>1. Triggered by ⓘ button at toolbar right edge
2. Shows identity tuple + active layout id + name
3. Per-row copy-to-clipboard
4. Closes on Escape and outside click
5. PrimeNG p-overlayPanel</t>
        </is>
      </c>
      <c r="H150" s="2" t="n">
        <v>2</v>
      </c>
      <c r="I150" s="2" t="inlineStr">
        <is>
          <t>Medium</t>
        </is>
      </c>
      <c r="J150" s="2" t="inlineStr">
        <is>
          <t>packages/angular/widgets/markets-grid-angular (roadmap)</t>
        </is>
      </c>
      <c r="K150" s="5" t="inlineStr">
        <is>
          <t>Not Started</t>
        </is>
      </c>
    </row>
    <row r="151" ht="62" customHeight="1">
      <c r="A151" s="3" t="inlineStr">
        <is>
          <t>Story</t>
        </is>
      </c>
      <c r="B151" s="3" t="inlineStr">
        <is>
          <t>MG-150</t>
        </is>
      </c>
      <c r="C151" s="3" t="inlineStr">
        <is>
          <t>MG-E37</t>
        </is>
      </c>
      <c r="D151" s="3" t="inlineStr">
        <is>
          <t>Angular MarketsGrid — Core Widget</t>
        </is>
      </c>
      <c r="E151" s="3" t="inlineStr">
        <is>
          <t>Angular headerExtras slot + Alt+Shift+P</t>
        </is>
      </c>
      <c r="F151" s="3" t="inlineStr">
        <is>
          <t>&lt;ng-content select='[headerExtras]'&gt; + HostListener.</t>
        </is>
      </c>
      <c r="G151" s="3" t="inlineStr">
        <is>
          <t>1. headerExtras content projected above filters toolbar when revealed
2. Alt+Shift+P toggles; HostListener cleaned up on destroy
3. No vertical space when hidden
4. Visibility per-session, not persisted</t>
        </is>
      </c>
      <c r="H151" s="3" t="n">
        <v>2</v>
      </c>
      <c r="I151" s="3" t="inlineStr">
        <is>
          <t>Medium</t>
        </is>
      </c>
      <c r="J151" s="3" t="inlineStr">
        <is>
          <t>packages/angular/widgets/markets-grid-angular (roadmap)</t>
        </is>
      </c>
      <c r="K151" s="5" t="inlineStr">
        <is>
          <t>Not Started</t>
        </is>
      </c>
    </row>
    <row r="152" ht="76" customHeight="1">
      <c r="A152" s="2" t="inlineStr">
        <is>
          <t>Story</t>
        </is>
      </c>
      <c r="B152" s="2" t="inlineStr">
        <is>
          <t>MG-151</t>
        </is>
      </c>
      <c r="C152" s="2" t="inlineStr">
        <is>
          <t>MG-E37</t>
        </is>
      </c>
      <c r="D152" s="2" t="inlineStr">
        <is>
          <t>Angular MarketsGrid — Core Widget</t>
        </is>
      </c>
      <c r="E152" s="2" t="inlineStr">
        <is>
          <t>Angular gridLevelData + before-unload</t>
        </is>
      </c>
      <c r="F152" s="2" t="inlineStr">
        <is>
          <t>gridLevelData input + gridLevelDataLoad output + beforeunload prompt while dirty.</t>
        </is>
      </c>
      <c r="G152" s="2" t="inlineStr">
        <is>
          <t>1. gridLevelData input persists via storage saveGridLevelData
2. gridLevelDataLoad emits after storage load
3. Slot opaque
4. Survives layout switches
5. beforeunload attached/detached based on isDirty</t>
        </is>
      </c>
      <c r="H152" s="2" t="n">
        <v>3</v>
      </c>
      <c r="I152" s="2" t="inlineStr">
        <is>
          <t>Medium</t>
        </is>
      </c>
      <c r="J152" s="2" t="inlineStr">
        <is>
          <t>packages/angular/widgets/markets-grid-angular (roadmap)</t>
        </is>
      </c>
      <c r="K152" s="5" t="inlineStr">
        <is>
          <t>Not Started</t>
        </is>
      </c>
    </row>
    <row r="153" ht="76" customHeight="1">
      <c r="A153" s="3" t="inlineStr">
        <is>
          <t>Story</t>
        </is>
      </c>
      <c r="B153" s="3" t="inlineStr">
        <is>
          <t>MG-152</t>
        </is>
      </c>
      <c r="C153" s="3" t="inlineStr">
        <is>
          <t>MG-E37</t>
        </is>
      </c>
      <c r="D153" s="3" t="inlineStr">
        <is>
          <t>Angular MarketsGrid — Core Widget</t>
        </is>
      </c>
      <c r="E153" s="3" t="inlineStr">
        <is>
          <t>Angular strict-mode + dev-mode safety</t>
        </is>
      </c>
      <c r="F153" s="3" t="inlineStr">
        <is>
          <t>Survives Angular dev-mode double-init / change-detection cycles.</t>
        </is>
      </c>
      <c r="G153" s="3" t="inlineStr">
        <is>
          <t>1. ngOnInit + ngOnDestroy idempotent
2. EventBus listener count stable across cycles
3. ResourceScope released even with overlapping CD ticks
4. MemoryAdapter dev warning emitted once with gridId
5. Production build suppresses warning</t>
        </is>
      </c>
      <c r="H153" s="3" t="n">
        <v>3</v>
      </c>
      <c r="I153" s="3" t="inlineStr">
        <is>
          <t>Medium</t>
        </is>
      </c>
      <c r="J153" s="3" t="inlineStr">
        <is>
          <t>packages/angular/widgets/markets-grid-angular (roadmap)</t>
        </is>
      </c>
      <c r="K153" s="5" t="inlineStr">
        <is>
          <t>Not Started</t>
        </is>
      </c>
    </row>
    <row r="154" ht="76" customHeight="1">
      <c r="A154" s="2" t="inlineStr">
        <is>
          <t>Story</t>
        </is>
      </c>
      <c r="B154" s="2" t="inlineStr">
        <is>
          <t>MG-153</t>
        </is>
      </c>
      <c r="C154" s="2" t="inlineStr">
        <is>
          <t>MG-E38</t>
        </is>
      </c>
      <c r="D154" s="2" t="inlineStr">
        <is>
          <t>Angular Module Panels Parity</t>
        </is>
      </c>
      <c r="E154" s="2" t="inlineStr">
        <is>
          <t>Angular general-settings panel</t>
        </is>
      </c>
      <c r="F154" s="2" t="inlineStr">
        <is>
          <t>All 6 bands with PrimeNG primitives; identical state shape.</t>
        </is>
      </c>
      <c r="G154" s="2" t="inlineStr">
        <is>
          <t>1. Mirrors every field in React general-settings
2. PrimeNG primitives (pInputNumber, pSelect, pInputSwitch, pSlider, pCheckbox)
3. State shape identical (same schemaVersion)
4. Changes write through Angular service equivalent of useModuleState
5. Live preview within one CD cycle</t>
        </is>
      </c>
      <c r="H154" s="2" t="n">
        <v>13</v>
      </c>
      <c r="I154" s="2" t="inlineStr">
        <is>
          <t>High</t>
        </is>
      </c>
      <c r="J154" s="2" t="inlineStr">
        <is>
          <t>packages/angular/widgets/markets-grid-angular/modules/*</t>
        </is>
      </c>
      <c r="K154" s="5" t="inlineStr">
        <is>
          <t>Not Started</t>
        </is>
      </c>
    </row>
    <row r="155" ht="76" customHeight="1">
      <c r="A155" s="3" t="inlineStr">
        <is>
          <t>Story</t>
        </is>
      </c>
      <c r="B155" s="3" t="inlineStr">
        <is>
          <t>MG-154</t>
        </is>
      </c>
      <c r="C155" s="3" t="inlineStr">
        <is>
          <t>MG-E38</t>
        </is>
      </c>
      <c r="D155" s="3" t="inlineStr">
        <is>
          <t>Angular Module Panels Parity</t>
        </is>
      </c>
      <c r="E155" s="3" t="inlineStr">
        <is>
          <t>Angular column-customization panel + reducers</t>
        </is>
      </c>
      <c r="F155" s="3" t="inlineStr">
        <is>
          <t>Master-detail editor reusing the vanilla reducer suite.</t>
        </is>
      </c>
      <c r="G155" s="3" t="inlineStr">
        <is>
          <t>1. ListPane uses Angular CDK virtual-scroll for &gt;60 columns
2. Per-column editor renders sections: header, sizing, sort+filter, editing, styling, formatting, grouping
3. Bulk-select applies reducers across selected columns
4. Override-badge memoized via signal-based Set&lt;colId&gt;
5. ColumnAssignment state byte-identical with React</t>
        </is>
      </c>
      <c r="H155" s="3" t="n">
        <v>13</v>
      </c>
      <c r="I155" s="3" t="inlineStr">
        <is>
          <t>High</t>
        </is>
      </c>
      <c r="J155" s="3" t="inlineStr">
        <is>
          <t>packages/angular/widgets/markets-grid-angular/modules/*</t>
        </is>
      </c>
      <c r="K155" s="5" t="inlineStr">
        <is>
          <t>Not Started</t>
        </is>
      </c>
    </row>
    <row r="156" ht="76" customHeight="1">
      <c r="A156" s="2" t="inlineStr">
        <is>
          <t>Story</t>
        </is>
      </c>
      <c r="B156" s="2" t="inlineStr">
        <is>
          <t>MG-155</t>
        </is>
      </c>
      <c r="C156" s="2" t="inlineStr">
        <is>
          <t>MG-E38</t>
        </is>
      </c>
      <c r="D156" s="2" t="inlineStr">
        <is>
          <t>Angular Module Panels Parity</t>
        </is>
      </c>
      <c r="E156" s="2" t="inlineStr">
        <is>
          <t>Angular column-templates panel + library actions</t>
        </is>
      </c>
      <c r="F156" s="2" t="inlineStr">
        <is>
          <t>Create / apply / remove / import / export templates.</t>
        </is>
      </c>
      <c r="G156" s="2" t="inlineStr">
        <is>
          <t>1. List with name + actions per template
2. snapshotTemplate captures style block
3. Apply/remove pushes/drops templateId
4. typeDefaults editor for numeric/date/string/boolean
5. Import/export via JSON (interoperable with React)</t>
        </is>
      </c>
      <c r="H156" s="2" t="n">
        <v>5</v>
      </c>
      <c r="I156" s="2" t="inlineStr">
        <is>
          <t>High</t>
        </is>
      </c>
      <c r="J156" s="2" t="inlineStr">
        <is>
          <t>packages/angular/widgets/markets-grid-angular/modules/*</t>
        </is>
      </c>
      <c r="K156" s="5" t="inlineStr">
        <is>
          <t>Not Started</t>
        </is>
      </c>
    </row>
    <row r="157" ht="76" customHeight="1">
      <c r="A157" s="3" t="inlineStr">
        <is>
          <t>Story</t>
        </is>
      </c>
      <c r="B157" s="3" t="inlineStr">
        <is>
          <t>MG-156</t>
        </is>
      </c>
      <c r="C157" s="3" t="inlineStr">
        <is>
          <t>MG-E38</t>
        </is>
      </c>
      <c r="D157" s="3" t="inlineStr">
        <is>
          <t>Angular Module Panels Parity</t>
        </is>
      </c>
      <c r="E157" s="3" t="inlineStr">
        <is>
          <t>Angular calculated-columns panel + Monaco editor</t>
        </is>
      </c>
      <c r="F157" s="3" t="inlineStr">
        <is>
          <t>Master-detail with Angular Monaco wrapper + FormatterPicker.</t>
        </is>
      </c>
      <c r="G157" s="3" t="inlineStr">
        <is>
          <t>1. ListPane with delete + reorder
2. Per-row editor renders Angular Monaco wrapper
3. cellDataType selector drives FormatterPicker presets
4. Save validates colId uniqueness
5. VirtualColumnDef state matches React</t>
        </is>
      </c>
      <c r="H157" s="3" t="n">
        <v>13</v>
      </c>
      <c r="I157" s="3" t="inlineStr">
        <is>
          <t>High</t>
        </is>
      </c>
      <c r="J157" s="3" t="inlineStr">
        <is>
          <t>packages/angular/widgets/markets-grid-angular/modules/*</t>
        </is>
      </c>
      <c r="K157" s="5" t="inlineStr">
        <is>
          <t>Not Started</t>
        </is>
      </c>
    </row>
    <row r="158" ht="76" customHeight="1">
      <c r="A158" s="2" t="inlineStr">
        <is>
          <t>Story</t>
        </is>
      </c>
      <c r="B158" s="2" t="inlineStr">
        <is>
          <t>MG-157</t>
        </is>
      </c>
      <c r="C158" s="2" t="inlineStr">
        <is>
          <t>MG-E38</t>
        </is>
      </c>
      <c r="D158" s="2" t="inlineStr">
        <is>
          <t>Angular Module Panels Parity</t>
        </is>
      </c>
      <c r="E158" s="2" t="inlineStr">
        <is>
          <t>Angular column-groups panel</t>
        </is>
      </c>
      <c r="F158" s="2" t="inlineStr">
        <is>
          <t>Tree editor with drag-reorder, depth cap, child visibility tri-state.</t>
        </is>
      </c>
      <c r="G158" s="2" t="inlineStr">
        <is>
          <t>1. PrimeNG p-tree or Angular CDK drag-drop
2. Add subgroup disabled at depth 3
3. Per-group fields: headerName, openByDefault, marryChildren, headerStyle
4. Per-child show selector maps to columnGroupShow
5. ColumnGroupNode state matches React</t>
        </is>
      </c>
      <c r="H158" s="2" t="n">
        <v>8</v>
      </c>
      <c r="I158" s="2" t="inlineStr">
        <is>
          <t>Medium</t>
        </is>
      </c>
      <c r="J158" s="2" t="inlineStr">
        <is>
          <t>packages/angular/widgets/markets-grid-angular/modules/*</t>
        </is>
      </c>
      <c r="K158" s="5" t="inlineStr">
        <is>
          <t>Not Started</t>
        </is>
      </c>
    </row>
    <row r="159" ht="76" customHeight="1">
      <c r="A159" s="3" t="inlineStr">
        <is>
          <t>Story</t>
        </is>
      </c>
      <c r="B159" s="3" t="inlineStr">
        <is>
          <t>MG-158</t>
        </is>
      </c>
      <c r="C159" s="3" t="inlineStr">
        <is>
          <t>MG-E38</t>
        </is>
      </c>
      <c r="D159" s="3" t="inlineStr">
        <is>
          <t>Angular Module Panels Parity</t>
        </is>
      </c>
      <c r="E159" s="3" t="inlineStr">
        <is>
          <t>Angular conditional-styling panel + rule editor</t>
        </is>
      </c>
      <c r="F159" s="3" t="inlineStr">
        <is>
          <t>Master-detail with rule list + per-rule editor (expression/scope/style/flash/indicator/expiry).</t>
        </is>
      </c>
      <c r="G159" s="3" t="inlineStr">
        <is>
          <t>1. Rule list reorders priority via drag handle
2. Per-rule enabled toggle without opening editor
3. Editor composes ExpressionEditor + scope picker + StyleEditor + flash + indicator
4. Time-limited (expiring) activations (parity with React MG-49)
5. Live preview within one frame</t>
        </is>
      </c>
      <c r="H159" s="3" t="n">
        <v>13</v>
      </c>
      <c r="I159" s="3" t="inlineStr">
        <is>
          <t>High</t>
        </is>
      </c>
      <c r="J159" s="3" t="inlineStr">
        <is>
          <t>packages/angular/widgets/markets-grid-angular/modules/*</t>
        </is>
      </c>
      <c r="K159" s="5" t="inlineStr">
        <is>
          <t>Not Started</t>
        </is>
      </c>
    </row>
    <row r="160" ht="76" customHeight="1">
      <c r="A160" s="2" t="inlineStr">
        <is>
          <t>Story</t>
        </is>
      </c>
      <c r="B160" s="2" t="inlineStr">
        <is>
          <t>MG-159</t>
        </is>
      </c>
      <c r="C160" s="2" t="inlineStr">
        <is>
          <t>MG-E38</t>
        </is>
      </c>
      <c r="D160" s="2" t="inlineStr">
        <is>
          <t>Angular Module Panels Parity</t>
        </is>
      </c>
      <c r="E160" s="2" t="inlineStr">
        <is>
          <t>Angular grid-state module (vanilla-shared)</t>
        </is>
      </c>
      <c r="F160" s="2" t="inlineStr">
        <is>
          <t>Wire vanilla grid-state module into Angular lifecycle.</t>
        </is>
      </c>
      <c r="G160" s="2" t="inlineStr">
        <is>
          <t>1. captureGridStateInto on explicit Save
2. applyGridState on (afterViewInit + grid-ready) and on profile:loaded
3. Selection column re-pin via applyColumnState in microtask
4. Stale saved order merged with live set
5. Reuses vanilla TS module — no new module code</t>
        </is>
      </c>
      <c r="H160" s="2" t="n">
        <v>2</v>
      </c>
      <c r="I160" s="2" t="inlineStr">
        <is>
          <t>Medium</t>
        </is>
      </c>
      <c r="J160" s="2" t="inlineStr">
        <is>
          <t>packages/angular/widgets/markets-grid-angular/modules/*</t>
        </is>
      </c>
      <c r="K160" s="5" t="inlineStr">
        <is>
          <t>Not Started</t>
        </is>
      </c>
    </row>
    <row r="161" ht="62" customHeight="1">
      <c r="A161" s="3" t="inlineStr">
        <is>
          <t>Story</t>
        </is>
      </c>
      <c r="B161" s="3" t="inlineStr">
        <is>
          <t>MG-160</t>
        </is>
      </c>
      <c r="C161" s="3" t="inlineStr">
        <is>
          <t>MG-E38</t>
        </is>
      </c>
      <c r="D161" s="3" t="inlineStr">
        <is>
          <t>Angular Module Panels Parity</t>
        </is>
      </c>
      <c r="E161" s="3" t="inlineStr">
        <is>
          <t>Angular saved-filters module (vanilla-shared)</t>
        </is>
      </c>
      <c r="F161" s="3" t="inlineStr">
        <is>
          <t>Wire vanilla saved-filters into Angular filter pills bar.</t>
        </is>
      </c>
      <c r="G161" s="3" t="inlineStr">
        <is>
          <t>1. Module slice serialize/deserialize unchanged
2. Angular FiltersToolbarComponent subscribes via service
3. Schema migration runs on load
4. Round-trip with React-saved layouts lossless</t>
        </is>
      </c>
      <c r="H161" s="3" t="n">
        <v>2</v>
      </c>
      <c r="I161" s="3" t="inlineStr">
        <is>
          <t>Medium</t>
        </is>
      </c>
      <c r="J161" s="3" t="inlineStr">
        <is>
          <t>packages/angular/widgets/markets-grid-angular/modules/*</t>
        </is>
      </c>
      <c r="K161" s="5" t="inlineStr">
        <is>
          <t>Not Started</t>
        </is>
      </c>
    </row>
    <row r="162" ht="62" customHeight="1">
      <c r="A162" s="2" t="inlineStr">
        <is>
          <t>Story</t>
        </is>
      </c>
      <c r="B162" s="2" t="inlineStr">
        <is>
          <t>MG-161</t>
        </is>
      </c>
      <c r="C162" s="2" t="inlineStr">
        <is>
          <t>MG-E38</t>
        </is>
      </c>
      <c r="D162" s="2" t="inlineStr">
        <is>
          <t>Angular Module Panels Parity</t>
        </is>
      </c>
      <c r="E162" s="2" t="inlineStr">
        <is>
          <t>Angular toolbar-visibility module (vanilla-shared)</t>
        </is>
      </c>
      <c r="F162" s="2" t="inlineStr">
        <is>
          <t>Wire vanilla toolbar-visibility into Angular toolbars.</t>
        </is>
      </c>
      <c r="G162" s="2" t="inlineStr">
        <is>
          <t>1. Per-toolbar boolean map persisted in layout
2. Missing keys = host default
3. First consumer: FiltersToolbarComponent collapse
4. Schema version honored</t>
        </is>
      </c>
      <c r="H162" s="2" t="n">
        <v>1</v>
      </c>
      <c r="I162" s="2" t="inlineStr">
        <is>
          <t>Low</t>
        </is>
      </c>
      <c r="J162" s="2" t="inlineStr">
        <is>
          <t>packages/angular/widgets/markets-grid-angular/modules/*</t>
        </is>
      </c>
      <c r="K162" s="5" t="inlineStr">
        <is>
          <t>Not Started</t>
        </is>
      </c>
    </row>
    <row r="163" ht="76" customHeight="1">
      <c r="A163" s="3" t="inlineStr">
        <is>
          <t>Story</t>
        </is>
      </c>
      <c r="B163" s="3" t="inlineStr">
        <is>
          <t>MG-162</t>
        </is>
      </c>
      <c r="C163" s="3" t="inlineStr">
        <is>
          <t>MG-E39</t>
        </is>
      </c>
      <c r="D163" s="3" t="inlineStr">
        <is>
          <t>Reference Apps &amp; Build Infrastructure</t>
        </is>
      </c>
      <c r="E163" s="3" t="inlineStr">
        <is>
          <t>demo-react + markets-ui-react-reference apps</t>
        </is>
      </c>
      <c r="F163" s="3" t="inlineStr">
        <is>
          <t>Minimal showcase + full reference with OpenFin + FDC3 + config-service + data-services.</t>
        </is>
      </c>
      <c r="G163" s="3" t="inlineStr">
        <is>
          <t>1. demo-react boots &lt;MarketsGrid&gt; with sample data + default modules
2. reference app wires HostWrapper + ConfigServiceProvider + DataServicesProvider + MarketsGridContainer
3. Vite 7+, React 19, AG-Grid 35
4. Theme switcher + popout demo
5. Workspace setup wizard</t>
        </is>
      </c>
      <c r="H163" s="3" t="n">
        <v>5</v>
      </c>
      <c r="I163" s="3" t="inlineStr">
        <is>
          <t>Medium</t>
        </is>
      </c>
      <c r="J163" s="3" t="inlineStr">
        <is>
          <t>apps/*, turbo.json, tsconfig.base.json</t>
        </is>
      </c>
      <c r="K163" s="4" t="inlineStr">
        <is>
          <t>Done</t>
        </is>
      </c>
    </row>
    <row r="164" ht="76" customHeight="1">
      <c r="A164" s="2" t="inlineStr">
        <is>
          <t>Story</t>
        </is>
      </c>
      <c r="B164" s="2" t="inlineStr">
        <is>
          <t>MG-163</t>
        </is>
      </c>
      <c r="C164" s="2" t="inlineStr">
        <is>
          <t>MG-E39</t>
        </is>
      </c>
      <c r="D164" s="2" t="inlineStr">
        <is>
          <t>Reference Apps &amp; Build Infrastructure</t>
        </is>
      </c>
      <c r="E164" s="2" t="inlineStr">
        <is>
          <t>demo-angular + standalone-grid config</t>
        </is>
      </c>
      <c r="F164" s="2" t="inlineStr">
        <is>
          <t>Angular 21 equivalent + standard config for standalone testing.</t>
        </is>
      </c>
      <c r="G164" s="2" t="inlineStr">
        <is>
          <t>1. Boots widgets-angular DockConfigurator + DataProviderEditor demo
2. AG Grid Angular 35 + RxJS 7
3. Tailwind config from @starui/design-system
4. Standalone grid testable without OpenFin
5. Will host markets-grid-angular when it lands</t>
        </is>
      </c>
      <c r="H164" s="2" t="n">
        <v>5</v>
      </c>
      <c r="I164" s="2" t="inlineStr">
        <is>
          <t>Medium</t>
        </is>
      </c>
      <c r="J164" s="2" t="inlineStr">
        <is>
          <t>apps/*, turbo.json, tsconfig.base.json</t>
        </is>
      </c>
      <c r="K164" s="4" t="inlineStr">
        <is>
          <t>Done</t>
        </is>
      </c>
    </row>
    <row r="165" ht="76" customHeight="1">
      <c r="A165" s="3" t="inlineStr">
        <is>
          <t>Story</t>
        </is>
      </c>
      <c r="B165" s="3" t="inlineStr">
        <is>
          <t>MG-164</t>
        </is>
      </c>
      <c r="C165" s="3" t="inlineStr">
        <is>
          <t>MG-E39</t>
        </is>
      </c>
      <c r="D165" s="3" t="inlineStr">
        <is>
          <t>Reference Apps &amp; Build Infrastructure</t>
        </is>
      </c>
      <c r="E165" s="3" t="inlineStr">
        <is>
          <t>demo-configservice-react + config-service-server</t>
        </is>
      </c>
      <c r="F165" s="3" t="inlineStr">
        <is>
          <t>REST + Dexie demo. Node Express server.</t>
        </is>
      </c>
      <c r="G165" s="3" t="inlineStr">
        <is>
          <t>1. Server starts with single command; auto-creates SQLite
2. REST endpoints for AppConfig/UserProfile/Role/Permission/AppRegistry
3. Bearer + optional OIDC
4. Optimistic locking returns 409 on version mismatch
5. Bundled admin web app at /admin</t>
        </is>
      </c>
      <c r="H165" s="3" t="n">
        <v>8</v>
      </c>
      <c r="I165" s="3" t="inlineStr">
        <is>
          <t>Medium</t>
        </is>
      </c>
      <c r="J165" s="3" t="inlineStr">
        <is>
          <t>apps/*, turbo.json, tsconfig.base.json</t>
        </is>
      </c>
      <c r="K165" s="4" t="inlineStr">
        <is>
          <t>Done</t>
        </is>
      </c>
    </row>
    <row r="166" ht="90" customHeight="1">
      <c r="A166" s="2" t="inlineStr">
        <is>
          <t>Story</t>
        </is>
      </c>
      <c r="B166" s="2" t="inlineStr">
        <is>
          <t>MG-165</t>
        </is>
      </c>
      <c r="C166" s="2" t="inlineStr">
        <is>
          <t>MG-E39</t>
        </is>
      </c>
      <c r="D166" s="2" t="inlineStr">
        <is>
          <t>Reference Apps &amp; Build Infrastructure</t>
        </is>
      </c>
      <c r="E166" s="2" t="inlineStr">
        <is>
          <t>Turborepo pipeline + npm 10 workspaces</t>
        </is>
      </c>
      <c r="F166" s="2" t="inlineStr">
        <is>
          <t>turbo.json + tsconfig.base.json + npm 10 with --legacy-peer-deps.</t>
        </is>
      </c>
      <c r="G166" s="2" t="inlineStr">
        <is>
          <t>1. turbo build depends on ^build + check-ds
2. typecheck/test/e2e/lint scoped per package
3. dev task persistent
4. Every library uses rimraf dist &amp;&amp; tsc
5. npm 10 workspaces declared per sub-bucket
6. --legacy-peer-deps documented as permanent</t>
        </is>
      </c>
      <c r="H166" s="2" t="n">
        <v>5</v>
      </c>
      <c r="I166" s="2" t="inlineStr">
        <is>
          <t>High</t>
        </is>
      </c>
      <c r="J166" s="2" t="inlineStr">
        <is>
          <t>apps/*, turbo.json, tsconfig.base.json</t>
        </is>
      </c>
      <c r="K166" s="4" t="inlineStr">
        <is>
          <t>Done</t>
        </is>
      </c>
    </row>
    <row r="167" ht="90" customHeight="1">
      <c r="A167" s="3" t="inlineStr">
        <is>
          <t>Story</t>
        </is>
      </c>
      <c r="B167" s="3" t="inlineStr">
        <is>
          <t>MG-166</t>
        </is>
      </c>
      <c r="C167" s="3" t="inlineStr">
        <is>
          <t>MG-E39</t>
        </is>
      </c>
      <c r="D167" s="3" t="inlineStr">
        <is>
          <t>Reference Apps &amp; Build Infrastructure</t>
        </is>
      </c>
      <c r="E167" s="3" t="inlineStr">
        <is>
          <t>Vitest + Playwright test infrastructure</t>
        </is>
      </c>
      <c r="F167" s="3" t="inlineStr">
        <is>
          <t>Vitest 4 + jsdom 29 baseline (653 passing). Playwright 1.59+ e2e against demo-react (195/214 passing).</t>
        </is>
      </c>
      <c r="G167" s="3" t="inlineStr">
        <is>
          <t>1. Vitest configured per package with shared base config
2. Playwright fixtures for theme-switch, expression-editor popout, MarketsGrid e2e
3. CI runs build → typecheck → test → e2e
4. E2E failures tracked in docs/E2E_STATUS.md
5. Artifact upload on failure
6. check-ds-tokens lint gate before build</t>
        </is>
      </c>
      <c r="H167" s="3" t="n">
        <v>5</v>
      </c>
      <c r="I167" s="3" t="inlineStr">
        <is>
          <t>Medium</t>
        </is>
      </c>
      <c r="J167" s="3" t="inlineStr">
        <is>
          <t>apps/*, turbo.json, tsconfig.base.json</t>
        </is>
      </c>
      <c r="K167" s="4" t="inlineStr">
        <is>
          <t>Done</t>
        </is>
      </c>
    </row>
    <row r="168" ht="104" customHeight="1">
      <c r="A168" s="2" t="inlineStr">
        <is>
          <t>Story</t>
        </is>
      </c>
      <c r="B168" s="2" t="inlineStr">
        <is>
          <t>MG-167</t>
        </is>
      </c>
      <c r="C168" s="2" t="inlineStr">
        <is>
          <t>MG-E40</t>
        </is>
      </c>
      <c r="D168" s="2" t="inlineStr">
        <is>
          <t>Angular UI Surfaces Parity</t>
        </is>
      </c>
      <c r="E168" s="2" t="inlineStr">
        <is>
          <t>Angular Settings Drawer (3-column poppable)</t>
        </is>
      </c>
      <c r="F168" s="2" t="inlineStr">
        <is>
          <t>Module rail / items list / editor pane; inline + popout; dirty-count header; help cheatsheet.</t>
        </is>
      </c>
      <c r="G168" s="2" t="inlineStr">
        <is>
          <t>1. PrimeNG p-sidebar or custom 3-col layout
2. Left rail switches active module panel
3. Modules render ListPane + EditorPane or flat SettingsPanel
4. Title bar shows version, layout status, dirty count, maximize/minimize/close
5. Esc / Ctrl+Enter close
6. Help cheatsheet toggle
7. Dialog portals respect popout context</t>
        </is>
      </c>
      <c r="H168" s="2" t="n">
        <v>13</v>
      </c>
      <c r="I168" s="2" t="inlineStr">
        <is>
          <t>High</t>
        </is>
      </c>
      <c r="J168" s="2" t="inlineStr">
        <is>
          <t>packages/angular/widgets/markets-grid-angular/ui/*</t>
        </is>
      </c>
      <c r="K168" s="5" t="inlineStr">
        <is>
          <t>Not Started</t>
        </is>
      </c>
    </row>
    <row r="169" ht="76" customHeight="1">
      <c r="A169" s="3" t="inlineStr">
        <is>
          <t>Story</t>
        </is>
      </c>
      <c r="B169" s="3" t="inlineStr">
        <is>
          <t>MG-168</t>
        </is>
      </c>
      <c r="C169" s="3" t="inlineStr">
        <is>
          <t>MG-E40</t>
        </is>
      </c>
      <c r="D169" s="3" t="inlineStr">
        <is>
          <t>Angular UI Surfaces Parity</t>
        </is>
      </c>
      <c r="E169" s="3" t="inlineStr">
        <is>
          <t>Angular Cockpit UI primitive kit (PrimeNG-themed)</t>
        </is>
      </c>
      <c r="F169" s="3" t="inlineStr">
        <is>
          <t>~25 PrimeNG-themed equivalents of React Cockpit primitives.</t>
        </is>
      </c>
      <c r="G169" s="3" t="inlineStr">
        <is>
          <t>1. Each primitive ships as standalone Angular component
2. All consume @starui/tokens-primeng
3. Light + dark parity
4. CockpitList uses CDK overlay + virtual-scroll
5. SharpBtn variants (default/action/ghost/danger) match React</t>
        </is>
      </c>
      <c r="H169" s="3" t="n">
        <v>13</v>
      </c>
      <c r="I169" s="3" t="inlineStr">
        <is>
          <t>High</t>
        </is>
      </c>
      <c r="J169" s="3" t="inlineStr">
        <is>
          <t>packages/angular/widgets/markets-grid-angular/ui/*</t>
        </is>
      </c>
      <c r="K169" s="5" t="inlineStr">
        <is>
          <t>Not Started</t>
        </is>
      </c>
    </row>
    <row r="170" ht="76" customHeight="1">
      <c r="A170" s="2" t="inlineStr">
        <is>
          <t>Story</t>
        </is>
      </c>
      <c r="B170" s="2" t="inlineStr">
        <is>
          <t>MG-169</t>
        </is>
      </c>
      <c r="C170" s="2" t="inlineStr">
        <is>
          <t>MG-E40</t>
        </is>
      </c>
      <c r="D170" s="2" t="inlineStr">
        <is>
          <t>Angular UI Surfaces Parity</t>
        </is>
      </c>
      <c r="E170" s="2" t="inlineStr">
        <is>
          <t>Angular StyleEditor with opt-in sections</t>
        </is>
      </c>
      <c r="F170" s="2" t="inlineStr">
        <is>
          <t>Master editor composing TextSection / ColorSection / BorderSection / FormatSection.</t>
        </is>
      </c>
      <c r="G170" s="2" t="inlineStr">
        <is>
          <t>1. &lt;starui-style-editor [sections]='[text,color,border,format]'&gt;
2. Each section drives slice of StyleEditorValue (same shape as React)
3. ColorSection uses compact PrimeNG ColorPicker popover
4. BorderSection per-side editor
5. sections input API matches React</t>
        </is>
      </c>
      <c r="H170" s="2" t="n">
        <v>8</v>
      </c>
      <c r="I170" s="2" t="inlineStr">
        <is>
          <t>High</t>
        </is>
      </c>
      <c r="J170" s="2" t="inlineStr">
        <is>
          <t>packages/angular/widgets/markets-grid-angular/ui/*</t>
        </is>
      </c>
      <c r="K170" s="5" t="inlineStr">
        <is>
          <t>Not Started</t>
        </is>
      </c>
    </row>
    <row r="171" ht="90" customHeight="1">
      <c r="A171" s="3" t="inlineStr">
        <is>
          <t>Story</t>
        </is>
      </c>
      <c r="B171" s="3" t="inlineStr">
        <is>
          <t>MG-170</t>
        </is>
      </c>
      <c r="C171" s="3" t="inlineStr">
        <is>
          <t>MG-E40</t>
        </is>
      </c>
      <c r="D171" s="3" t="inlineStr">
        <is>
          <t>Angular UI Surfaces Parity</t>
        </is>
      </c>
      <c r="E171" s="3" t="inlineStr">
        <is>
          <t>Angular Filter Pills Bar</t>
        </is>
      </c>
      <c r="F171" s="3" t="inlineStr">
        <is>
          <t>Pill carousel, badges, add/clear/rename/delete, JSON edit popover, collapse, horizontal scroll.</t>
        </is>
      </c>
      <c r="G171" s="3" t="inlineStr">
        <is>
          <t>1. Pill carousel with badges recomputed on grid events
2. + button delta-aware via isNewFilter
3. Inline rename, delete, clear-all (guarded)
4. JSON edit popover for raw filter model
5. Collapse summary chip + horizontal scroll arrows
6. Filter sanitization on deserialize</t>
        </is>
      </c>
      <c r="H171" s="3" t="n">
        <v>8</v>
      </c>
      <c r="I171" s="3" t="inlineStr">
        <is>
          <t>High</t>
        </is>
      </c>
      <c r="J171" s="3" t="inlineStr">
        <is>
          <t>packages/angular/widgets/markets-grid-angular/ui/*</t>
        </is>
      </c>
      <c r="K171" s="5" t="inlineStr">
        <is>
          <t>Not Started</t>
        </is>
      </c>
    </row>
    <row r="172" ht="104" customHeight="1">
      <c r="A172" s="2" t="inlineStr">
        <is>
          <t>Story</t>
        </is>
      </c>
      <c r="B172" s="2" t="inlineStr">
        <is>
          <t>MG-171</t>
        </is>
      </c>
      <c r="C172" s="2" t="inlineStr">
        <is>
          <t>MG-E40</t>
        </is>
      </c>
      <c r="D172" s="2" t="inlineStr">
        <is>
          <t>Angular UI Surfaces Parity</t>
        </is>
      </c>
      <c r="E172" s="2" t="inlineStr">
        <is>
          <t>Angular Formatting Toolbar</t>
        </is>
      </c>
      <c r="F172" s="2" t="inlineStr">
        <is>
          <t>All 7 modules + brush + draggable float popout.</t>
        </is>
      </c>
      <c r="G172" s="2" t="inlineStr">
        <is>
          <t>1. Inline mode: second toolbar row
2. Floating mode: 560x680 OS window (OpenFin native; browser fallback)
3. Brush pill on filters row toggles toolbar
4. Each module reuses vanilla reducers via Angular adapter service
5. Live sample preview
6. Undo/redo via HistoryStack
7. PrimeNG p-overlayPanel for nested popovers</t>
        </is>
      </c>
      <c r="H172" s="2" t="n">
        <v>13</v>
      </c>
      <c r="I172" s="2" t="inlineStr">
        <is>
          <t>High</t>
        </is>
      </c>
      <c r="J172" s="2" t="inlineStr">
        <is>
          <t>packages/angular/widgets/markets-grid-angular/ui/*</t>
        </is>
      </c>
      <c r="K172" s="5" t="inlineStr">
        <is>
          <t>Not Started</t>
        </is>
      </c>
    </row>
    <row r="173" ht="76" customHeight="1">
      <c r="A173" s="3" t="inlineStr">
        <is>
          <t>Story</t>
        </is>
      </c>
      <c r="B173" s="3" t="inlineStr">
        <is>
          <t>MG-172</t>
        </is>
      </c>
      <c r="C173" s="3" t="inlineStr">
        <is>
          <t>MG-E40</t>
        </is>
      </c>
      <c r="D173" s="3" t="inlineStr">
        <is>
          <t>Angular UI Surfaces Parity</t>
        </is>
      </c>
      <c r="E173" s="3" t="inlineStr">
        <is>
          <t>Angular ProfileSelector</t>
        </is>
      </c>
      <c r="F173" s="3" t="inlineStr">
        <is>
          <t>Dropdown + CRUD + Export/Import + dirty indicator + Save &amp; switch / Discard / Cancel.</t>
        </is>
      </c>
      <c r="G173" s="3" t="inlineStr">
        <is>
          <t>1. PrimeNG p-dropdown with template + actions
2. Save &amp; switch / Discard / Cancel via p-confirmDialog
3. Clone auto-suffix '(copy)', '(copy 2)'
4. Default layout not deletable
5. JSON Export/Import round-trip with React</t>
        </is>
      </c>
      <c r="H173" s="3" t="n">
        <v>5</v>
      </c>
      <c r="I173" s="3" t="inlineStr">
        <is>
          <t>High</t>
        </is>
      </c>
      <c r="J173" s="3" t="inlineStr">
        <is>
          <t>packages/angular/widgets/markets-grid-angular/ui/*</t>
        </is>
      </c>
      <c r="K173" s="5" t="inlineStr">
        <is>
          <t>Not Started</t>
        </is>
      </c>
    </row>
    <row r="174" ht="76" customHeight="1">
      <c r="A174" s="2" t="inlineStr">
        <is>
          <t>Story</t>
        </is>
      </c>
      <c r="B174" s="2" t="inlineStr">
        <is>
          <t>MG-173</t>
        </is>
      </c>
      <c r="C174" s="2" t="inlineStr">
        <is>
          <t>MG-E40</t>
        </is>
      </c>
      <c r="D174" s="2" t="inlineStr">
        <is>
          <t>Angular UI Surfaces Parity</t>
        </is>
      </c>
      <c r="E174" s="2" t="inlineStr">
        <is>
          <t>Angular FormatterPicker + Excel reference</t>
        </is>
      </c>
      <c r="F174" s="2" t="inlineStr">
        <is>
          <t>Grouped dropdown + live sample + Excel format-code reference + custom format input.</t>
        </is>
      </c>
      <c r="G174" s="2" t="inlineStr">
        <is>
          <t>1. Presets grouped by category; inferPickerDataType pre-filters
2. Live sample updates on change
3. Custom Excel format input via excelFormat kind
4. Excel reference popover as 2-col table
5. Expression option visible only when policy != strict</t>
        </is>
      </c>
      <c r="H174" s="2" t="n">
        <v>8</v>
      </c>
      <c r="I174" s="2" t="inlineStr">
        <is>
          <t>Medium</t>
        </is>
      </c>
      <c r="J174" s="2" t="inlineStr">
        <is>
          <t>packages/angular/widgets/markets-grid-angular/ui/*</t>
        </is>
      </c>
      <c r="K174" s="5" t="inlineStr">
        <is>
          <t>Not Started</t>
        </is>
      </c>
    </row>
    <row r="175" ht="90" customHeight="1">
      <c r="A175" s="3" t="inlineStr">
        <is>
          <t>Story</t>
        </is>
      </c>
      <c r="B175" s="3" t="inlineStr">
        <is>
          <t>MG-174</t>
        </is>
      </c>
      <c r="C175" s="3" t="inlineStr">
        <is>
          <t>MG-E40</t>
        </is>
      </c>
      <c r="D175" s="3" t="inlineStr">
        <is>
          <t>Angular UI Surfaces Parity</t>
        </is>
      </c>
      <c r="E175" s="3" t="inlineStr">
        <is>
          <t>Angular Monaco ExpressionEditor wrapper</t>
        </is>
      </c>
      <c r="F175" s="3" t="inlineStr">
        <is>
          <t>Wrapper around the same Monaco editor used by React.</t>
        </is>
      </c>
      <c r="G175" s="3" t="inlineStr">
        <is>
          <t>1. Standalone Angular component with two-way binding (FormControl-compatible)
2. Reuses tokenize/parse/diagnostics from @starui/core
3. Column + function autocomplete
4. Shift+Enter commits; Escape cancels
5. Popout-safe keyboard routing
6. FallbackInput when Monaco fails to load</t>
        </is>
      </c>
      <c r="H175" s="3" t="n">
        <v>8</v>
      </c>
      <c r="I175" s="3" t="inlineStr">
        <is>
          <t>Medium</t>
        </is>
      </c>
      <c r="J175" s="3" t="inlineStr">
        <is>
          <t>packages/angular/widgets/markets-grid-angular/ui/*</t>
        </is>
      </c>
      <c r="K175" s="5" t="inlineStr">
        <is>
          <t>Not Started</t>
        </is>
      </c>
    </row>
    <row r="176" ht="76" customHeight="1">
      <c r="A176" s="2" t="inlineStr">
        <is>
          <t>Story</t>
        </is>
      </c>
      <c r="B176" s="2" t="inlineStr">
        <is>
          <t>MG-175</t>
        </is>
      </c>
      <c r="C176" s="2" t="inlineStr">
        <is>
          <t>MG-E40</t>
        </is>
      </c>
      <c r="D176" s="2" t="inlineStr">
        <is>
          <t>Angular UI Surfaces Parity</t>
        </is>
      </c>
      <c r="E176" s="2" t="inlineStr">
        <is>
          <t>Angular cell renderers (12 trading)</t>
        </is>
      </c>
      <c r="F176" s="2" t="inlineStr">
        <is>
          <t>Angular ports of design-system cell renderers.</t>
        </is>
      </c>
      <c r="G176" s="2" t="inlineStr">
        <is>
          <t>1. Each renderer implements ICellRendererAngularComp
2. Pure token-driven styling
3. Dark/light parity
4. Exported via @starui/design-system/cell-renderers/angular
5. Visual snapshot tests against React equivalents</t>
        </is>
      </c>
      <c r="H176" s="2" t="n">
        <v>8</v>
      </c>
      <c r="I176" s="2" t="inlineStr">
        <is>
          <t>Medium</t>
        </is>
      </c>
      <c r="J176" s="2" t="inlineStr">
        <is>
          <t>packages/angular/widgets/markets-grid-angular/ui/*</t>
        </is>
      </c>
      <c r="K176" s="5" t="inlineStr">
        <is>
          <t>Not Started</t>
        </is>
      </c>
    </row>
    <row r="177" ht="62" customHeight="1">
      <c r="A177" s="3" t="inlineStr">
        <is>
          <t>Story</t>
        </is>
      </c>
      <c r="B177" s="3" t="inlineStr">
        <is>
          <t>MG-176</t>
        </is>
      </c>
      <c r="C177" s="3" t="inlineStr">
        <is>
          <t>MG-E40</t>
        </is>
      </c>
      <c r="D177" s="3" t="inlineStr">
        <is>
          <t>Angular UI Surfaces Parity</t>
        </is>
      </c>
      <c r="E177" s="3" t="inlineStr">
        <is>
          <t>Angular FormatPopover stack registry</t>
        </is>
      </c>
      <c r="F177" s="3" t="inlineStr">
        <is>
          <t>registerPopoverRoot + clickIsInsideAnyOpenPopover for nested popovers (incl. popouts).</t>
        </is>
      </c>
      <c r="G177" s="3" t="inlineStr">
        <is>
          <t>1. Each opened popover registers its root
2. Outside-click checks all registered roots
3. Cleanup on close
4. Works across popout windows</t>
        </is>
      </c>
      <c r="H177" s="3" t="n">
        <v>3</v>
      </c>
      <c r="I177" s="3" t="inlineStr">
        <is>
          <t>Medium</t>
        </is>
      </c>
      <c r="J177" s="3" t="inlineStr">
        <is>
          <t>packages/angular/widgets/markets-grid-angular/ui/*</t>
        </is>
      </c>
      <c r="K177" s="5" t="inlineStr">
        <is>
          <t>Not Started</t>
        </is>
      </c>
    </row>
    <row r="178" ht="76" customHeight="1">
      <c r="A178" s="2" t="inlineStr">
        <is>
          <t>Story</t>
        </is>
      </c>
      <c r="B178" s="2" t="inlineStr">
        <is>
          <t>MG-177</t>
        </is>
      </c>
      <c r="C178" s="2" t="inlineStr">
        <is>
          <t>MG-E41</t>
        </is>
      </c>
      <c r="D178" s="2" t="inlineStr">
        <is>
          <t>Angular Integration Parity</t>
        </is>
      </c>
      <c r="E178" s="2" t="inlineStr">
        <is>
          <t>Angular MarketsGridContainer (v2 layer)</t>
        </is>
      </c>
      <c r="F178" s="2" t="inlineStr">
        <is>
          <t>Wrapper that resolves storage, mounts ProviderToolbar, drives two-phase data flow + refresh.</t>
        </is>
      </c>
      <c r="G178" s="2" t="inlineStr">
        <is>
          <t>1. Accepts same inputs as MarketsGrid + dataProvidersRef / configManager
2. Resolves storage factory once; reads gridLevelData for provider state
3. Mounts ProviderToolbar in headerExtras slot
4. Wires gridLevelDataLoad to seed provider state
5. Forwards ViewChild ref</t>
        </is>
      </c>
      <c r="H178" s="2" t="n">
        <v>13</v>
      </c>
      <c r="I178" s="2" t="inlineStr">
        <is>
          <t>High</t>
        </is>
      </c>
      <c r="J178" s="2" t="inlineStr">
        <is>
          <t>packages/angular/widgets/* + packages/angular/hosts/*</t>
        </is>
      </c>
      <c r="K178" s="5" t="inlineStr">
        <is>
          <t>Not Started</t>
        </is>
      </c>
    </row>
    <row r="179" ht="76" customHeight="1">
      <c r="A179" s="3" t="inlineStr">
        <is>
          <t>Story</t>
        </is>
      </c>
      <c r="B179" s="3" t="inlineStr">
        <is>
          <t>MG-178</t>
        </is>
      </c>
      <c r="C179" s="3" t="inlineStr">
        <is>
          <t>MG-E41</t>
        </is>
      </c>
      <c r="D179" s="3" t="inlineStr">
        <is>
          <t>Angular Integration Parity</t>
        </is>
      </c>
      <c r="E179" s="3" t="inlineStr">
        <is>
          <t>Angular HostedMarketsGrid + workspace save</t>
        </is>
      </c>
      <c r="F179" s="3" t="inlineStr">
        <is>
          <t>Wrapper integrating identity, theme, FDC3, IAB, workspace save event.</t>
        </is>
      </c>
      <c r="G179" s="3" t="inlineStr">
        <is>
          <t>1. injectHostedView resolves OpenFin view identity
2. Theme applied via tokens-primeng adapter
3. injectWorkspaceSaveEvent triggers saveAll() on workspace-saving
4. FDC3 channel via Angular service
5. Color linking via IAB</t>
        </is>
      </c>
      <c r="H179" s="3" t="n">
        <v>8</v>
      </c>
      <c r="I179" s="3" t="inlineStr">
        <is>
          <t>High</t>
        </is>
      </c>
      <c r="J179" s="3" t="inlineStr">
        <is>
          <t>packages/angular/widgets/* + packages/angular/hosts/*</t>
        </is>
      </c>
      <c r="K179" s="5" t="inlineStr">
        <is>
          <t>Not Started</t>
        </is>
      </c>
    </row>
    <row r="180" ht="76" customHeight="1">
      <c r="A180" s="2" t="inlineStr">
        <is>
          <t>Story</t>
        </is>
      </c>
      <c r="B180" s="2" t="inlineStr">
        <is>
          <t>MG-179</t>
        </is>
      </c>
      <c r="C180" s="2" t="inlineStr">
        <is>
          <t>MG-E41</t>
        </is>
      </c>
      <c r="D180" s="2" t="inlineStr">
        <is>
          <t>Angular Integration Parity</t>
        </is>
      </c>
      <c r="E180" s="2" t="inlineStr">
        <is>
          <t>Angular Popout / OpenFin frameless alwaysOnTop</t>
        </is>
      </c>
      <c r="F180" s="2" t="inlineStr">
        <is>
          <t>Angular Poppable equivalent + buried-popout detection.</t>
        </is>
      </c>
      <c r="G180" s="2" t="inlineStr">
        <is>
          <t>1. &lt;starui-poppable&gt; directive provides popped state + popout trigger
2. OpenFin frameless window with alwaysOnTop:true
3. Custom draggable title bar
4. Buried-popout detection raises existing window
5. Browser fallback: window.open</t>
        </is>
      </c>
      <c r="H180" s="2" t="n">
        <v>8</v>
      </c>
      <c r="I180" s="2" t="inlineStr">
        <is>
          <t>High</t>
        </is>
      </c>
      <c r="J180" s="2" t="inlineStr">
        <is>
          <t>packages/angular/widgets/* + packages/angular/hosts/*</t>
        </is>
      </c>
      <c r="K180" s="5" t="inlineStr">
        <is>
          <t>Not Started</t>
        </is>
      </c>
    </row>
    <row r="181" ht="62" customHeight="1">
      <c r="A181" s="3" t="inlineStr">
        <is>
          <t>Story</t>
        </is>
      </c>
      <c r="B181" s="3" t="inlineStr">
        <is>
          <t>MG-180</t>
        </is>
      </c>
      <c r="C181" s="3" t="inlineStr">
        <is>
          <t>MG-E41</t>
        </is>
      </c>
      <c r="D181" s="3" t="inlineStr">
        <is>
          <t>Angular Integration Parity</t>
        </is>
      </c>
      <c r="E181" s="3" t="inlineStr">
        <is>
          <t>Angular admin actions wiring (Refresh built-in)</t>
        </is>
      </c>
      <c r="F181" s="3" t="inlineStr">
        <is>
          <t>Render adminActions in Settings Tools menu; built-in Refresh wired to container.</t>
        </is>
      </c>
      <c r="G181" s="3" t="inlineStr">
        <is>
          <t>1. Each action {id, label, icon, description, onClick, visible}
2. Built-in Refresh action calls container.refresh()
3. testid admin-action-{id}
4. Async onClick supported</t>
        </is>
      </c>
      <c r="H181" s="3" t="n">
        <v>2</v>
      </c>
      <c r="I181" s="3" t="inlineStr">
        <is>
          <t>Medium</t>
        </is>
      </c>
      <c r="J181" s="3" t="inlineStr">
        <is>
          <t>packages/angular/widgets/* + packages/angular/hosts/*</t>
        </is>
      </c>
      <c r="K181" s="5" t="inlineStr">
        <is>
          <t>Not Started</t>
        </is>
      </c>
    </row>
    <row r="182" ht="76" customHeight="1">
      <c r="A182" s="2" t="inlineStr">
        <is>
          <t>Story</t>
        </is>
      </c>
      <c r="B182" s="2" t="inlineStr">
        <is>
          <t>MG-181</t>
        </is>
      </c>
      <c r="C182" s="2" t="inlineStr">
        <is>
          <t>MG-E41</t>
        </is>
      </c>
      <c r="D182" s="2" t="inlineStr">
        <is>
          <t>Angular Integration Parity</t>
        </is>
      </c>
      <c r="E182" s="2" t="inlineStr">
        <is>
          <t>Angular app-data cell editor binding</t>
        </is>
      </c>
      <c r="F182" s="2" t="inlineStr">
        <is>
          <t>Dropdown cell editor reads valuesSource at edit time via injectAppData.</t>
        </is>
      </c>
      <c r="G182" s="2" t="inlineStr">
        <is>
          <t>1. Cell editor reads valuesSource at edit time
2. Dropdown options match AppData entry keys
3. Empty/missing entry shows fallback
4. Admins can update dropdown without touching grid code
5. {{name.key}} template parser shared with React</t>
        </is>
      </c>
      <c r="H182" s="2" t="n">
        <v>5</v>
      </c>
      <c r="I182" s="2" t="inlineStr">
        <is>
          <t>Medium</t>
        </is>
      </c>
      <c r="J182" s="2" t="inlineStr">
        <is>
          <t>packages/angular/widgets/* + packages/angular/hosts/*</t>
        </is>
      </c>
      <c r="K182" s="5" t="inlineStr">
        <is>
          <t>Not Started</t>
        </is>
      </c>
    </row>
    <row r="183" ht="76" customHeight="1">
      <c r="A183" s="3" t="inlineStr">
        <is>
          <t>Story</t>
        </is>
      </c>
      <c r="B183" s="3" t="inlineStr">
        <is>
          <t>MG-182</t>
        </is>
      </c>
      <c r="C183" s="3" t="inlineStr">
        <is>
          <t>MG-E41</t>
        </is>
      </c>
      <c r="D183" s="3" t="inlineStr">
        <is>
          <t>Angular Integration Parity</t>
        </is>
      </c>
      <c r="E183" s="3" t="inlineStr">
        <is>
          <t>Angular streaming-safe filters + 100ms transactions</t>
        </is>
      </c>
      <c r="F183" s="3" t="inlineStr">
        <is>
          <t>Angular streamSafeFloatingFilter components; 100ms transaction batching.</t>
        </is>
      </c>
      <c r="G183" s="3" t="inlineStr">
        <is>
          <t>1. streamSafeFloatingFilter Angular component (text/number/date/set)
2. Floating-filter focus + caret retained during transaction batches
3. Container coalesces worker updates into 100 ms windows
4. applyTransactionAsync used (no setGridOption rowData during ticks)
5. Frame rate ≥30 FPS under 30 Hz tick load</t>
        </is>
      </c>
      <c r="H183" s="3" t="n">
        <v>8</v>
      </c>
      <c r="I183" s="3" t="inlineStr">
        <is>
          <t>High</t>
        </is>
      </c>
      <c r="J183" s="3" t="inlineStr">
        <is>
          <t>packages/angular/widgets/* + packages/angular/hosts/*</t>
        </is>
      </c>
      <c r="K183" s="5" t="inlineStr">
        <is>
          <t>Not Started</t>
        </is>
      </c>
    </row>
    <row r="184" ht="76" customHeight="1">
      <c r="A184" s="2" t="inlineStr">
        <is>
          <t>Story</t>
        </is>
      </c>
      <c r="B184" s="2" t="inlineStr">
        <is>
          <t>MG-183</t>
        </is>
      </c>
      <c r="C184" s="2" t="inlineStr">
        <is>
          <t>MG-E42</t>
        </is>
      </c>
      <c r="D184" s="2" t="inlineStr">
        <is>
          <t>Cross-Framework Parity Invariants</t>
        </is>
      </c>
      <c r="E184" s="2" t="inlineStr">
        <is>
          <t>Parity invariant: identical AppConfigRow shape (+ conformance test)</t>
        </is>
      </c>
      <c r="F184" s="2" t="inlineStr">
        <is>
          <t>Layout saved by React loads in Angular and vice versa with no migration. Byte-for-byte.</t>
        </is>
      </c>
      <c r="G184" s="2" t="inlineStr">
        <is>
          <t>1. Cross-framework conformance test: React-saved → Angular grid + vice versa
2. Round-trip preserves all module state and metadata
3. Schema versions in lockstep
4. New module requires symmetric React + Angular release
5. CI gate</t>
        </is>
      </c>
      <c r="H184" s="2" t="n">
        <v>5</v>
      </c>
      <c r="I184" s="2" t="inlineStr">
        <is>
          <t>High</t>
        </is>
      </c>
      <c r="J184" s="2" t="inlineStr">
        <is>
          <t>Architecture rule enforced across React + Angular buckets</t>
        </is>
      </c>
      <c r="K184" s="5" t="inlineStr">
        <is>
          <t>Not Started</t>
        </is>
      </c>
    </row>
    <row r="185" ht="76" customHeight="1">
      <c r="A185" s="3" t="inlineStr">
        <is>
          <t>Story</t>
        </is>
      </c>
      <c r="B185" s="3" t="inlineStr">
        <is>
          <t>MG-184</t>
        </is>
      </c>
      <c r="C185" s="3" t="inlineStr">
        <is>
          <t>MG-E42</t>
        </is>
      </c>
      <c r="D185" s="3" t="inlineStr">
        <is>
          <t>Cross-Framework Parity Invariants</t>
        </is>
      </c>
      <c r="E185" s="3" t="inlineStr">
        <is>
          <t>Parity invariant: identical data semantics (+ conformance test)</t>
        </is>
      </c>
      <c r="F185" s="3" t="inlineStr">
        <is>
          <t>Same keyColumn composition, getRowId, {{providerName.key}} resolution, as-of-date AppData round-trip.</t>
        </is>
      </c>
      <c r="G185" s="3" t="inlineStr">
        <is>
          <t>1. Conformance test verifies same row keys from same data
2. Provider template resolution byte-identical
3. AppData reads/writes interoperable
4. SharedWorker cache hit when Angular + React subscribe with same identity
5. CI gate</t>
        </is>
      </c>
      <c r="H185" s="3" t="n">
        <v>5</v>
      </c>
      <c r="I185" s="3" t="inlineStr">
        <is>
          <t>High</t>
        </is>
      </c>
      <c r="J185" s="3" t="inlineStr">
        <is>
          <t>Architecture rule enforced across React + Angular buckets</t>
        </is>
      </c>
      <c r="K185" s="5" t="inlineStr">
        <is>
          <t>Not Started</t>
        </is>
      </c>
    </row>
    <row r="186" ht="62" customHeight="1">
      <c r="A186" s="2" t="inlineStr">
        <is>
          <t>Story</t>
        </is>
      </c>
      <c r="B186" s="2" t="inlineStr">
        <is>
          <t>MG-185</t>
        </is>
      </c>
      <c r="C186" s="2" t="inlineStr">
        <is>
          <t>MG-E42</t>
        </is>
      </c>
      <c r="D186" s="2" t="inlineStr">
        <is>
          <t>Cross-Framework Parity Invariants</t>
        </is>
      </c>
      <c r="E186" s="2" t="inlineStr">
        <is>
          <t>Parity invariant: identical identity tuple sourcing</t>
        </is>
      </c>
      <c r="F186" s="2" t="inlineStr">
        <is>
          <t>Same (appId, userId, instanceId) from same place (customData). Same layout set across frameworks.</t>
        </is>
      </c>
      <c r="G186" s="2" t="inlineStr">
        <is>
          <t>1. useHostedIdentity vs injectHostedIdentity symmetric
2. Conformance test: Angular view + React view resolve same layout set
3. Identity edits propagate equivalently
4. CI gate</t>
        </is>
      </c>
      <c r="H186" s="2" t="n">
        <v>3</v>
      </c>
      <c r="I186" s="2" t="inlineStr">
        <is>
          <t>High</t>
        </is>
      </c>
      <c r="J186" s="2" t="inlineStr">
        <is>
          <t>Architecture rule enforced across React + Angular buckets</t>
        </is>
      </c>
      <c r="K186" s="5" t="inlineStr">
        <is>
          <t>Not Started</t>
        </is>
      </c>
    </row>
    <row r="187" ht="76" customHeight="1">
      <c r="A187" s="3" t="inlineStr">
        <is>
          <t>Story</t>
        </is>
      </c>
      <c r="B187" s="3" t="inlineStr">
        <is>
          <t>MG-186</t>
        </is>
      </c>
      <c r="C187" s="3" t="inlineStr">
        <is>
          <t>MG-E42</t>
        </is>
      </c>
      <c r="D187" s="3" t="inlineStr">
        <is>
          <t>Cross-Framework Parity Invariants</t>
        </is>
      </c>
      <c r="E187" s="3" t="inlineStr">
        <is>
          <t>Parity invariant: user-facing feature surface tracker</t>
        </is>
      </c>
      <c r="F187" s="3" t="inlineStr">
        <is>
          <t>Every React module has Angular counterpart on roadmap. PrimeNG vs shadcn — capability surface identical.</t>
        </is>
      </c>
      <c r="G187" s="3" t="inlineStr">
        <is>
          <t>1. Feature catalog tracked side-by-side
2. Per-module parity status published in docs
3. New React module triggers Angular roadmap entry
4. Users can switch frameworks and find same capabilities
5. PRD review enforces parity at design time</t>
        </is>
      </c>
      <c r="H187" s="3" t="n">
        <v>3</v>
      </c>
      <c r="I187" s="3" t="inlineStr">
        <is>
          <t>Medium</t>
        </is>
      </c>
      <c r="J187" s="3" t="inlineStr">
        <is>
          <t>Architecture rule enforced across React + Angular buckets</t>
        </is>
      </c>
      <c r="K187" s="5"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50" customWidth="1" min="1" max="1"/>
    <col width="11" customWidth="1" min="2" max="2"/>
    <col width="11" customWidth="1" min="3" max="3"/>
    <col width="11" customWidth="1" min="4" max="4"/>
    <col width="9" customWidth="1" min="5" max="5"/>
    <col width="13" customWidth="1" min="6" max="6"/>
    <col width="13" customWidth="1" min="7" max="7"/>
  </cols>
  <sheetData>
    <row r="1">
      <c r="A1" s="7" t="inlineStr">
        <is>
          <t>MarketsGrid + Supporting Infrastructure — Jira Backlog</t>
        </is>
      </c>
    </row>
    <row r="2">
      <c r="A2" s="8" t="inlineStr">
        <is>
          <t>Source: code-derived inventory (packages/* scan) cross-referenced with marketsgrid-overview.md (2026-05-12)</t>
        </is>
      </c>
    </row>
    <row r="4">
      <c r="A4" s="1" t="inlineStr">
        <is>
          <t>Metric</t>
        </is>
      </c>
      <c r="B4" s="1" t="inlineStr">
        <is>
          <t>Value</t>
        </is>
      </c>
    </row>
    <row r="5">
      <c r="A5" s="9" t="inlineStr">
        <is>
          <t>Total Epics</t>
        </is>
      </c>
      <c r="B5" s="10">
        <f>COUNTA(Epics!A2:A43)</f>
        <v/>
      </c>
    </row>
    <row r="6">
      <c r="A6" s="9" t="inlineStr">
        <is>
          <t>Total Stories</t>
        </is>
      </c>
      <c r="B6" s="10">
        <f>COUNTA(Stories!B2:B187)</f>
        <v/>
      </c>
    </row>
    <row r="7">
      <c r="A7" s="9" t="inlineStr">
        <is>
          <t>Total Story Points</t>
        </is>
      </c>
      <c r="B7" s="10">
        <f>SUM(Stories!H2:H187)</f>
        <v/>
      </c>
    </row>
    <row r="8">
      <c r="A8" s="9" t="inlineStr">
        <is>
          <t>Average Points / Story</t>
        </is>
      </c>
      <c r="B8" s="11">
        <f>AVERAGE(Stories!H2:H187)</f>
        <v/>
      </c>
    </row>
    <row r="9">
      <c r="A9" s="9" t="inlineStr">
        <is>
          <t>High Priority Count</t>
        </is>
      </c>
      <c r="B9" s="10">
        <f>COUNTIF(Stories!I2:I187,"High")</f>
        <v/>
      </c>
    </row>
    <row r="10">
      <c r="A10" s="9" t="inlineStr">
        <is>
          <t>Medium Priority Count</t>
        </is>
      </c>
      <c r="B10" s="10">
        <f>COUNTIF(Stories!I2:I187,"Medium")</f>
        <v/>
      </c>
    </row>
    <row r="11">
      <c r="A11" s="9" t="inlineStr">
        <is>
          <t>Low Priority Count</t>
        </is>
      </c>
      <c r="B11" s="10">
        <f>COUNTIF(Stories!I2:I187,"Low")</f>
        <v/>
      </c>
    </row>
    <row r="13">
      <c r="A13" s="12" t="inlineStr">
        <is>
          <t>Points by Epic (with status breakdown)</t>
        </is>
      </c>
    </row>
    <row r="14">
      <c r="A14" s="1" t="inlineStr">
        <is>
          <t>Epic Key</t>
        </is>
      </c>
      <c r="B14" s="1" t="inlineStr">
        <is>
          <t>Epic Name</t>
        </is>
      </c>
      <c r="C14" s="1" t="inlineStr">
        <is>
          <t>Stories</t>
        </is>
      </c>
      <c r="D14" s="1" t="inlineStr">
        <is>
          <t>Points</t>
        </is>
      </c>
      <c r="E14" s="1" t="inlineStr">
        <is>
          <t>Done</t>
        </is>
      </c>
      <c r="F14" s="1" t="inlineStr">
        <is>
          <t>In Progress</t>
        </is>
      </c>
      <c r="G14" s="1" t="inlineStr">
        <is>
          <t>Not Started</t>
        </is>
      </c>
    </row>
    <row r="15">
      <c r="A15" s="3" t="inlineStr">
        <is>
          <t>MG-E1</t>
        </is>
      </c>
      <c r="B15" s="3" t="inlineStr">
        <is>
          <t>MarketsGrid Public Component &amp; Toolbar Chrome</t>
        </is>
      </c>
      <c r="C15" s="13">
        <f>COUNTIF(Stories!C2:C187,"MG-E1")</f>
        <v/>
      </c>
      <c r="D15" s="13">
        <f>SUMIF(Stories!C2:C187,"MG-E1",Stories!H2:H187)</f>
        <v/>
      </c>
      <c r="E15" s="13">
        <f>COUNTIFS(Stories!C2:C187,"MG-E1",Stories!K2:K187,"Done")</f>
        <v/>
      </c>
      <c r="F15" s="13">
        <f>COUNTIFS(Stories!C2:C187,"MG-E1",Stories!K2:K187,"In Progress")</f>
        <v/>
      </c>
      <c r="G15" s="13">
        <f>COUNTIFS(Stories!C2:C187,"MG-E1",Stories!K2:K187,"Not Started")</f>
        <v/>
      </c>
    </row>
    <row r="16">
      <c r="A16" s="2" t="inlineStr">
        <is>
          <t>MG-E2</t>
        </is>
      </c>
      <c r="B16" s="2" t="inlineStr">
        <is>
          <t>AG-Grid Enterprise Integration</t>
        </is>
      </c>
      <c r="C16" s="14">
        <f>COUNTIF(Stories!C2:C187,"MG-E2")</f>
        <v/>
      </c>
      <c r="D16" s="14">
        <f>SUMIF(Stories!C2:C187,"MG-E2",Stories!H2:H187)</f>
        <v/>
      </c>
      <c r="E16" s="14">
        <f>COUNTIFS(Stories!C2:C187,"MG-E2",Stories!K2:K187,"Done")</f>
        <v/>
      </c>
      <c r="F16" s="14">
        <f>COUNTIFS(Stories!C2:C187,"MG-E2",Stories!K2:K187,"In Progress")</f>
        <v/>
      </c>
      <c r="G16" s="14">
        <f>COUNTIFS(Stories!C2:C187,"MG-E2",Stories!K2:K187,"Not Started")</f>
        <v/>
      </c>
    </row>
    <row r="17">
      <c r="A17" s="3" t="inlineStr">
        <is>
          <t>MG-E3</t>
        </is>
      </c>
      <c r="B17" s="3" t="inlineStr">
        <is>
          <t>Streaming Data Performance</t>
        </is>
      </c>
      <c r="C17" s="13">
        <f>COUNTIF(Stories!C2:C187,"MG-E3")</f>
        <v/>
      </c>
      <c r="D17" s="13">
        <f>SUMIF(Stories!C2:C187,"MG-E3",Stories!H2:H187)</f>
        <v/>
      </c>
      <c r="E17" s="13">
        <f>COUNTIFS(Stories!C2:C187,"MG-E3",Stories!K2:K187,"Done")</f>
        <v/>
      </c>
      <c r="F17" s="13">
        <f>COUNTIFS(Stories!C2:C187,"MG-E3",Stories!K2:K187,"In Progress")</f>
        <v/>
      </c>
      <c r="G17" s="13">
        <f>COUNTIFS(Stories!C2:C187,"MG-E3",Stories!K2:K187,"Not Started")</f>
        <v/>
      </c>
    </row>
    <row r="18">
      <c r="A18" s="2" t="inlineStr">
        <is>
          <t>MG-E4</t>
        </is>
      </c>
      <c r="B18" s="2" t="inlineStr">
        <is>
          <t>Grid Platform &amp; Module System (Core)</t>
        </is>
      </c>
      <c r="C18" s="14">
        <f>COUNTIF(Stories!C2:C187,"MG-E4")</f>
        <v/>
      </c>
      <c r="D18" s="14">
        <f>SUMIF(Stories!C2:C187,"MG-E4",Stories!H2:H187)</f>
        <v/>
      </c>
      <c r="E18" s="14">
        <f>COUNTIFS(Stories!C2:C187,"MG-E4",Stories!K2:K187,"Done")</f>
        <v/>
      </c>
      <c r="F18" s="14">
        <f>COUNTIFS(Stories!C2:C187,"MG-E4",Stories!K2:K187,"In Progress")</f>
        <v/>
      </c>
      <c r="G18" s="14">
        <f>COUNTIFS(Stories!C2:C187,"MG-E4",Stories!K2:K187,"Not Started")</f>
        <v/>
      </c>
    </row>
    <row r="19">
      <c r="A19" s="3" t="inlineStr">
        <is>
          <t>MG-E5</t>
        </is>
      </c>
      <c r="B19" s="3" t="inlineStr">
        <is>
          <t>Layout / Profile Management</t>
        </is>
      </c>
      <c r="C19" s="13">
        <f>COUNTIF(Stories!C2:C187,"MG-E5")</f>
        <v/>
      </c>
      <c r="D19" s="13">
        <f>SUMIF(Stories!C2:C187,"MG-E5",Stories!H2:H187)</f>
        <v/>
      </c>
      <c r="E19" s="13">
        <f>COUNTIFS(Stories!C2:C187,"MG-E5",Stories!K2:K187,"Done")</f>
        <v/>
      </c>
      <c r="F19" s="13">
        <f>COUNTIFS(Stories!C2:C187,"MG-E5",Stories!K2:K187,"In Progress")</f>
        <v/>
      </c>
      <c r="G19" s="13">
        <f>COUNTIFS(Stories!C2:C187,"MG-E5",Stories!K2:K187,"Not Started")</f>
        <v/>
      </c>
    </row>
    <row r="20">
      <c r="A20" s="2" t="inlineStr">
        <is>
          <t>MG-E6</t>
        </is>
      </c>
      <c r="B20" s="2" t="inlineStr">
        <is>
          <t>Column Customization Module</t>
        </is>
      </c>
      <c r="C20" s="14">
        <f>COUNTIF(Stories!C2:C187,"MG-E6")</f>
        <v/>
      </c>
      <c r="D20" s="14">
        <f>SUMIF(Stories!C2:C187,"MG-E6",Stories!H2:H187)</f>
        <v/>
      </c>
      <c r="E20" s="14">
        <f>COUNTIFS(Stories!C2:C187,"MG-E6",Stories!K2:K187,"Done")</f>
        <v/>
      </c>
      <c r="F20" s="14">
        <f>COUNTIFS(Stories!C2:C187,"MG-E6",Stories!K2:K187,"In Progress")</f>
        <v/>
      </c>
      <c r="G20" s="14">
        <f>COUNTIFS(Stories!C2:C187,"MG-E6",Stories!K2:K187,"Not Started")</f>
        <v/>
      </c>
    </row>
    <row r="21">
      <c r="A21" s="3" t="inlineStr">
        <is>
          <t>MG-E7</t>
        </is>
      </c>
      <c r="B21" s="3" t="inlineStr">
        <is>
          <t>Column Templates Module</t>
        </is>
      </c>
      <c r="C21" s="13">
        <f>COUNTIF(Stories!C2:C187,"MG-E7")</f>
        <v/>
      </c>
      <c r="D21" s="13">
        <f>SUMIF(Stories!C2:C187,"MG-E7",Stories!H2:H187)</f>
        <v/>
      </c>
      <c r="E21" s="13">
        <f>COUNTIFS(Stories!C2:C187,"MG-E7",Stories!K2:K187,"Done")</f>
        <v/>
      </c>
      <c r="F21" s="13">
        <f>COUNTIFS(Stories!C2:C187,"MG-E7",Stories!K2:K187,"In Progress")</f>
        <v/>
      </c>
      <c r="G21" s="13">
        <f>COUNTIFS(Stories!C2:C187,"MG-E7",Stories!K2:K187,"Not Started")</f>
        <v/>
      </c>
    </row>
    <row r="22">
      <c r="A22" s="2" t="inlineStr">
        <is>
          <t>MG-E8</t>
        </is>
      </c>
      <c r="B22" s="2" t="inlineStr">
        <is>
          <t>Calculated Columns Module</t>
        </is>
      </c>
      <c r="C22" s="14">
        <f>COUNTIF(Stories!C2:C187,"MG-E8")</f>
        <v/>
      </c>
      <c r="D22" s="14">
        <f>SUMIF(Stories!C2:C187,"MG-E8",Stories!H2:H187)</f>
        <v/>
      </c>
      <c r="E22" s="14">
        <f>COUNTIFS(Stories!C2:C187,"MG-E8",Stories!K2:K187,"Done")</f>
        <v/>
      </c>
      <c r="F22" s="14">
        <f>COUNTIFS(Stories!C2:C187,"MG-E8",Stories!K2:K187,"In Progress")</f>
        <v/>
      </c>
      <c r="G22" s="14">
        <f>COUNTIFS(Stories!C2:C187,"MG-E8",Stories!K2:K187,"Not Started")</f>
        <v/>
      </c>
    </row>
    <row r="23">
      <c r="A23" s="3" t="inlineStr">
        <is>
          <t>MG-E9</t>
        </is>
      </c>
      <c r="B23" s="3" t="inlineStr">
        <is>
          <t>Column Groups Module</t>
        </is>
      </c>
      <c r="C23" s="13">
        <f>COUNTIF(Stories!C2:C187,"MG-E9")</f>
        <v/>
      </c>
      <c r="D23" s="13">
        <f>SUMIF(Stories!C2:C187,"MG-E9",Stories!H2:H187)</f>
        <v/>
      </c>
      <c r="E23" s="13">
        <f>COUNTIFS(Stories!C2:C187,"MG-E9",Stories!K2:K187,"Done")</f>
        <v/>
      </c>
      <c r="F23" s="13">
        <f>COUNTIFS(Stories!C2:C187,"MG-E9",Stories!K2:K187,"In Progress")</f>
        <v/>
      </c>
      <c r="G23" s="13">
        <f>COUNTIFS(Stories!C2:C187,"MG-E9",Stories!K2:K187,"Not Started")</f>
        <v/>
      </c>
    </row>
    <row r="24">
      <c r="A24" s="2" t="inlineStr">
        <is>
          <t>MG-E10</t>
        </is>
      </c>
      <c r="B24" s="2" t="inlineStr">
        <is>
          <t>Conditional Styling Module</t>
        </is>
      </c>
      <c r="C24" s="14">
        <f>COUNTIF(Stories!C2:C187,"MG-E10")</f>
        <v/>
      </c>
      <c r="D24" s="14">
        <f>SUMIF(Stories!C2:C187,"MG-E10",Stories!H2:H187)</f>
        <v/>
      </c>
      <c r="E24" s="14">
        <f>COUNTIFS(Stories!C2:C187,"MG-E10",Stories!K2:K187,"Done")</f>
        <v/>
      </c>
      <c r="F24" s="14">
        <f>COUNTIFS(Stories!C2:C187,"MG-E10",Stories!K2:K187,"In Progress")</f>
        <v/>
      </c>
      <c r="G24" s="14">
        <f>COUNTIFS(Stories!C2:C187,"MG-E10",Stories!K2:K187,"Not Started")</f>
        <v/>
      </c>
    </row>
    <row r="25">
      <c r="A25" s="3" t="inlineStr">
        <is>
          <t>MG-E11</t>
        </is>
      </c>
      <c r="B25" s="3" t="inlineStr">
        <is>
          <t>Grid State Persistence Module</t>
        </is>
      </c>
      <c r="C25" s="13">
        <f>COUNTIF(Stories!C2:C187,"MG-E11")</f>
        <v/>
      </c>
      <c r="D25" s="13">
        <f>SUMIF(Stories!C2:C187,"MG-E11",Stories!H2:H187)</f>
        <v/>
      </c>
      <c r="E25" s="13">
        <f>COUNTIFS(Stories!C2:C187,"MG-E11",Stories!K2:K187,"Done")</f>
        <v/>
      </c>
      <c r="F25" s="13">
        <f>COUNTIFS(Stories!C2:C187,"MG-E11",Stories!K2:K187,"In Progress")</f>
        <v/>
      </c>
      <c r="G25" s="13">
        <f>COUNTIFS(Stories!C2:C187,"MG-E11",Stories!K2:K187,"Not Started")</f>
        <v/>
      </c>
    </row>
    <row r="26">
      <c r="A26" s="2" t="inlineStr">
        <is>
          <t>MG-E12</t>
        </is>
      </c>
      <c r="B26" s="2" t="inlineStr">
        <is>
          <t>Saved Filters Module</t>
        </is>
      </c>
      <c r="C26" s="14">
        <f>COUNTIF(Stories!C2:C187,"MG-E12")</f>
        <v/>
      </c>
      <c r="D26" s="14">
        <f>SUMIF(Stories!C2:C187,"MG-E12",Stories!H2:H187)</f>
        <v/>
      </c>
      <c r="E26" s="14">
        <f>COUNTIFS(Stories!C2:C187,"MG-E12",Stories!K2:K187,"Done")</f>
        <v/>
      </c>
      <c r="F26" s="14">
        <f>COUNTIFS(Stories!C2:C187,"MG-E12",Stories!K2:K187,"In Progress")</f>
        <v/>
      </c>
      <c r="G26" s="14">
        <f>COUNTIFS(Stories!C2:C187,"MG-E12",Stories!K2:K187,"Not Started")</f>
        <v/>
      </c>
    </row>
    <row r="27">
      <c r="A27" s="3" t="inlineStr">
        <is>
          <t>MG-E13</t>
        </is>
      </c>
      <c r="B27" s="3" t="inlineStr">
        <is>
          <t>Toolbar Visibility Module</t>
        </is>
      </c>
      <c r="C27" s="13">
        <f>COUNTIF(Stories!C2:C187,"MG-E13")</f>
        <v/>
      </c>
      <c r="D27" s="13">
        <f>SUMIF(Stories!C2:C187,"MG-E13",Stories!H2:H187)</f>
        <v/>
      </c>
      <c r="E27" s="13">
        <f>COUNTIFS(Stories!C2:C187,"MG-E13",Stories!K2:K187,"Done")</f>
        <v/>
      </c>
      <c r="F27" s="13">
        <f>COUNTIFS(Stories!C2:C187,"MG-E13",Stories!K2:K187,"In Progress")</f>
        <v/>
      </c>
      <c r="G27" s="13">
        <f>COUNTIFS(Stories!C2:C187,"MG-E13",Stories!K2:K187,"Not Started")</f>
        <v/>
      </c>
    </row>
    <row r="28">
      <c r="A28" s="2" t="inlineStr">
        <is>
          <t>MG-E14</t>
        </is>
      </c>
      <c r="B28" s="2" t="inlineStr">
        <is>
          <t>Grid Options Settings Panel (general-settings)</t>
        </is>
      </c>
      <c r="C28" s="14">
        <f>COUNTIF(Stories!C2:C187,"MG-E14")</f>
        <v/>
      </c>
      <c r="D28" s="14">
        <f>SUMIF(Stories!C2:C187,"MG-E14",Stories!H2:H187)</f>
        <v/>
      </c>
      <c r="E28" s="14">
        <f>COUNTIFS(Stories!C2:C187,"MG-E14",Stories!K2:K187,"Done")</f>
        <v/>
      </c>
      <c r="F28" s="14">
        <f>COUNTIFS(Stories!C2:C187,"MG-E14",Stories!K2:K187,"In Progress")</f>
        <v/>
      </c>
      <c r="G28" s="14">
        <f>COUNTIFS(Stories!C2:C187,"MG-E14",Stories!K2:K187,"Not Started")</f>
        <v/>
      </c>
    </row>
    <row r="29">
      <c r="A29" s="3" t="inlineStr">
        <is>
          <t>MG-E15</t>
        </is>
      </c>
      <c r="B29" s="3" t="inlineStr">
        <is>
          <t>Expression Engine &amp; Monaco Editor</t>
        </is>
      </c>
      <c r="C29" s="13">
        <f>COUNTIF(Stories!C2:C187,"MG-E15")</f>
        <v/>
      </c>
      <c r="D29" s="13">
        <f>SUMIF(Stories!C2:C187,"MG-E15",Stories!H2:H187)</f>
        <v/>
      </c>
      <c r="E29" s="13">
        <f>COUNTIFS(Stories!C2:C187,"MG-E15",Stories!K2:K187,"Done")</f>
        <v/>
      </c>
      <c r="F29" s="13">
        <f>COUNTIFS(Stories!C2:C187,"MG-E15",Stories!K2:K187,"In Progress")</f>
        <v/>
      </c>
      <c r="G29" s="13">
        <f>COUNTIFS(Stories!C2:C187,"MG-E15",Stories!K2:K187,"Not Started")</f>
        <v/>
      </c>
    </row>
    <row r="30">
      <c r="A30" s="2" t="inlineStr">
        <is>
          <t>MG-E16</t>
        </is>
      </c>
      <c r="B30" s="2" t="inlineStr">
        <is>
          <t>Formatter System &amp; FormatterPicker</t>
        </is>
      </c>
      <c r="C30" s="14">
        <f>COUNTIF(Stories!C2:C187,"MG-E16")</f>
        <v/>
      </c>
      <c r="D30" s="14">
        <f>SUMIF(Stories!C2:C187,"MG-E16",Stories!H2:H187)</f>
        <v/>
      </c>
      <c r="E30" s="14">
        <f>COUNTIFS(Stories!C2:C187,"MG-E16",Stories!K2:K187,"Done")</f>
        <v/>
      </c>
      <c r="F30" s="14">
        <f>COUNTIFS(Stories!C2:C187,"MG-E16",Stories!K2:K187,"In Progress")</f>
        <v/>
      </c>
      <c r="G30" s="14">
        <f>COUNTIFS(Stories!C2:C187,"MG-E16",Stories!K2:K187,"Not Started")</f>
        <v/>
      </c>
    </row>
    <row r="31">
      <c r="A31" s="3" t="inlineStr">
        <is>
          <t>MG-E17</t>
        </is>
      </c>
      <c r="B31" s="3" t="inlineStr">
        <is>
          <t>Settings Drawer &amp; Cockpit UI Primitives</t>
        </is>
      </c>
      <c r="C31" s="13">
        <f>COUNTIF(Stories!C2:C187,"MG-E17")</f>
        <v/>
      </c>
      <c r="D31" s="13">
        <f>SUMIF(Stories!C2:C187,"MG-E17",Stories!H2:H187)</f>
        <v/>
      </c>
      <c r="E31" s="13">
        <f>COUNTIFS(Stories!C2:C187,"MG-E17",Stories!K2:K187,"Done")</f>
        <v/>
      </c>
      <c r="F31" s="13">
        <f>COUNTIFS(Stories!C2:C187,"MG-E17",Stories!K2:K187,"In Progress")</f>
        <v/>
      </c>
      <c r="G31" s="13">
        <f>COUNTIFS(Stories!C2:C187,"MG-E17",Stories!K2:K187,"Not Started")</f>
        <v/>
      </c>
    </row>
    <row r="32">
      <c r="A32" s="2" t="inlineStr">
        <is>
          <t>MG-E18</t>
        </is>
      </c>
      <c r="B32" s="2" t="inlineStr">
        <is>
          <t>Formatting Toolbar</t>
        </is>
      </c>
      <c r="C32" s="14">
        <f>COUNTIF(Stories!C2:C187,"MG-E18")</f>
        <v/>
      </c>
      <c r="D32" s="14">
        <f>SUMIF(Stories!C2:C187,"MG-E18",Stories!H2:H187)</f>
        <v/>
      </c>
      <c r="E32" s="14">
        <f>COUNTIFS(Stories!C2:C187,"MG-E18",Stories!K2:K187,"Done")</f>
        <v/>
      </c>
      <c r="F32" s="14">
        <f>COUNTIFS(Stories!C2:C187,"MG-E18",Stories!K2:K187,"In Progress")</f>
        <v/>
      </c>
      <c r="G32" s="14">
        <f>COUNTIFS(Stories!C2:C187,"MG-E18",Stories!K2:K187,"Not Started")</f>
        <v/>
      </c>
    </row>
    <row r="33">
      <c r="A33" s="3" t="inlineStr">
        <is>
          <t>MG-E19</t>
        </is>
      </c>
      <c r="B33" s="3" t="inlineStr">
        <is>
          <t>Filter Pills Bar</t>
        </is>
      </c>
      <c r="C33" s="13">
        <f>COUNTIF(Stories!C2:C187,"MG-E19")</f>
        <v/>
      </c>
      <c r="D33" s="13">
        <f>SUMIF(Stories!C2:C187,"MG-E19",Stories!H2:H187)</f>
        <v/>
      </c>
      <c r="E33" s="13">
        <f>COUNTIFS(Stories!C2:C187,"MG-E19",Stories!K2:K187,"Done")</f>
        <v/>
      </c>
      <c r="F33" s="13">
        <f>COUNTIFS(Stories!C2:C187,"MG-E19",Stories!K2:K187,"In Progress")</f>
        <v/>
      </c>
      <c r="G33" s="13">
        <f>COUNTIFS(Stories!C2:C187,"MG-E19",Stories!K2:K187,"Not Started")</f>
        <v/>
      </c>
    </row>
    <row r="34">
      <c r="A34" s="2" t="inlineStr">
        <is>
          <t>MG-E20</t>
        </is>
      </c>
      <c r="B34" s="2" t="inlineStr">
        <is>
          <t>Design System Foundation</t>
        </is>
      </c>
      <c r="C34" s="14">
        <f>COUNTIF(Stories!C2:C187,"MG-E20")</f>
        <v/>
      </c>
      <c r="D34" s="14">
        <f>SUMIF(Stories!C2:C187,"MG-E20",Stories!H2:H187)</f>
        <v/>
      </c>
      <c r="E34" s="14">
        <f>COUNTIFS(Stories!C2:C187,"MG-E20",Stories!K2:K187,"Done")</f>
        <v/>
      </c>
      <c r="F34" s="14">
        <f>COUNTIFS(Stories!C2:C187,"MG-E20",Stories!K2:K187,"In Progress")</f>
        <v/>
      </c>
      <c r="G34" s="14">
        <f>COUNTIFS(Stories!C2:C187,"MG-E20",Stories!K2:K187,"Not Started")</f>
        <v/>
      </c>
    </row>
    <row r="35">
      <c r="A35" s="3" t="inlineStr">
        <is>
          <t>MG-E21</t>
        </is>
      </c>
      <c r="B35" s="3" t="inlineStr">
        <is>
          <t>Storage Adapters</t>
        </is>
      </c>
      <c r="C35" s="13">
        <f>COUNTIF(Stories!C2:C187,"MG-E21")</f>
        <v/>
      </c>
      <c r="D35" s="13">
        <f>SUMIF(Stories!C2:C187,"MG-E21",Stories!H2:H187)</f>
        <v/>
      </c>
      <c r="E35" s="13">
        <f>COUNTIFS(Stories!C2:C187,"MG-E21",Stories!K2:K187,"Done")</f>
        <v/>
      </c>
      <c r="F35" s="13">
        <f>COUNTIFS(Stories!C2:C187,"MG-E21",Stories!K2:K187,"In Progress")</f>
        <v/>
      </c>
      <c r="G35" s="13">
        <f>COUNTIFS(Stories!C2:C187,"MG-E21",Stories!K2:K187,"Not Started")</f>
        <v/>
      </c>
    </row>
    <row r="36">
      <c r="A36" s="2" t="inlineStr">
        <is>
          <t>MG-E22</t>
        </is>
      </c>
      <c r="B36" s="2" t="inlineStr">
        <is>
          <t>ConfigService Integration</t>
        </is>
      </c>
      <c r="C36" s="14">
        <f>COUNTIF(Stories!C2:C187,"MG-E22")</f>
        <v/>
      </c>
      <c r="D36" s="14">
        <f>SUMIF(Stories!C2:C187,"MG-E22",Stories!H2:H187)</f>
        <v/>
      </c>
      <c r="E36" s="14">
        <f>COUNTIFS(Stories!C2:C187,"MG-E22",Stories!K2:K187,"Done")</f>
        <v/>
      </c>
      <c r="F36" s="14">
        <f>COUNTIFS(Stories!C2:C187,"MG-E22",Stories!K2:K187,"In Progress")</f>
        <v/>
      </c>
      <c r="G36" s="14">
        <f>COUNTIFS(Stories!C2:C187,"MG-E22",Stories!K2:K187,"Not Started")</f>
        <v/>
      </c>
    </row>
    <row r="37">
      <c r="A37" s="3" t="inlineStr">
        <is>
          <t>MG-E23</t>
        </is>
      </c>
      <c r="B37" s="3" t="inlineStr">
        <is>
          <t>Popout / OpenFin Window Support</t>
        </is>
      </c>
      <c r="C37" s="13">
        <f>COUNTIF(Stories!C2:C187,"MG-E23")</f>
        <v/>
      </c>
      <c r="D37" s="13">
        <f>SUMIF(Stories!C2:C187,"MG-E23",Stories!H2:H187)</f>
        <v/>
      </c>
      <c r="E37" s="13">
        <f>COUNTIFS(Stories!C2:C187,"MG-E23",Stories!K2:K187,"Done")</f>
        <v/>
      </c>
      <c r="F37" s="13">
        <f>COUNTIFS(Stories!C2:C187,"MG-E23",Stories!K2:K187,"In Progress")</f>
        <v/>
      </c>
      <c r="G37" s="13">
        <f>COUNTIFS(Stories!C2:C187,"MG-E23",Stories!K2:K187,"Not Started")</f>
        <v/>
      </c>
    </row>
    <row r="38">
      <c r="A38" s="2" t="inlineStr">
        <is>
          <t>MG-E24</t>
        </is>
      </c>
      <c r="B38" s="2" t="inlineStr">
        <is>
          <t>Expression Security Policy</t>
        </is>
      </c>
      <c r="C38" s="14">
        <f>COUNTIF(Stories!C2:C187,"MG-E24")</f>
        <v/>
      </c>
      <c r="D38" s="14">
        <f>SUMIF(Stories!C2:C187,"MG-E24",Stories!H2:H187)</f>
        <v/>
      </c>
      <c r="E38" s="14">
        <f>COUNTIFS(Stories!C2:C187,"MG-E24",Stories!K2:K187,"Done")</f>
        <v/>
      </c>
      <c r="F38" s="14">
        <f>COUNTIFS(Stories!C2:C187,"MG-E24",Stories!K2:K187,"In Progress")</f>
        <v/>
      </c>
      <c r="G38" s="14">
        <f>COUNTIFS(Stories!C2:C187,"MG-E24",Stories!K2:K187,"Not Started")</f>
        <v/>
      </c>
    </row>
    <row r="39">
      <c r="A39" s="3" t="inlineStr">
        <is>
          <t>MG-E25</t>
        </is>
      </c>
      <c r="B39" s="3" t="inlineStr">
        <is>
          <t>Admin Actions</t>
        </is>
      </c>
      <c r="C39" s="13">
        <f>COUNTIF(Stories!C2:C187,"MG-E25")</f>
        <v/>
      </c>
      <c r="D39" s="13">
        <f>SUMIF(Stories!C2:C187,"MG-E25",Stories!H2:H187)</f>
        <v/>
      </c>
      <c r="E39" s="13">
        <f>COUNTIFS(Stories!C2:C187,"MG-E25",Stories!K2:K187,"Done")</f>
        <v/>
      </c>
      <c r="F39" s="13">
        <f>COUNTIFS(Stories!C2:C187,"MG-E25",Stories!K2:K187,"In Progress")</f>
        <v/>
      </c>
      <c r="G39" s="13">
        <f>COUNTIFS(Stories!C2:C187,"MG-E25",Stories!K2:K187,"Not Started")</f>
        <v/>
      </c>
    </row>
    <row r="40">
      <c r="A40" s="2" t="inlineStr">
        <is>
          <t>MG-E26</t>
        </is>
      </c>
      <c r="B40" s="2" t="inlineStr">
        <is>
          <t>App-Data Binding</t>
        </is>
      </c>
      <c r="C40" s="14">
        <f>COUNTIF(Stories!C2:C187,"MG-E26")</f>
        <v/>
      </c>
      <c r="D40" s="14">
        <f>SUMIF(Stories!C2:C187,"MG-E26",Stories!H2:H187)</f>
        <v/>
      </c>
      <c r="E40" s="14">
        <f>COUNTIFS(Stories!C2:C187,"MG-E26",Stories!K2:K187,"Done")</f>
        <v/>
      </c>
      <c r="F40" s="14">
        <f>COUNTIFS(Stories!C2:C187,"MG-E26",Stories!K2:K187,"In Progress")</f>
        <v/>
      </c>
      <c r="G40" s="14">
        <f>COUNTIFS(Stories!C2:C187,"MG-E26",Stories!K2:K187,"Not Started")</f>
        <v/>
      </c>
    </row>
    <row r="41">
      <c r="A41" s="3" t="inlineStr">
        <is>
          <t>MG-E27</t>
        </is>
      </c>
      <c r="B41" s="3" t="inlineStr">
        <is>
          <t>MarketsGridContainer (Data Provider Layer)</t>
        </is>
      </c>
      <c r="C41" s="13">
        <f>COUNTIF(Stories!C2:C187,"MG-E27")</f>
        <v/>
      </c>
      <c r="D41" s="13">
        <f>SUMIF(Stories!C2:C187,"MG-E27",Stories!H2:H187)</f>
        <v/>
      </c>
      <c r="E41" s="13">
        <f>COUNTIFS(Stories!C2:C187,"MG-E27",Stories!K2:K187,"Done")</f>
        <v/>
      </c>
      <c r="F41" s="13">
        <f>COUNTIFS(Stories!C2:C187,"MG-E27",Stories!K2:K187,"In Progress")</f>
        <v/>
      </c>
      <c r="G41" s="13">
        <f>COUNTIFS(Stories!C2:C187,"MG-E27",Stories!K2:K187,"Not Started")</f>
        <v/>
      </c>
    </row>
    <row r="42">
      <c r="A42" s="2" t="inlineStr">
        <is>
          <t>MG-E28</t>
        </is>
      </c>
      <c r="B42" s="2" t="inlineStr">
        <is>
          <t>Data Services Runtime</t>
        </is>
      </c>
      <c r="C42" s="14">
        <f>COUNTIF(Stories!C2:C187,"MG-E28")</f>
        <v/>
      </c>
      <c r="D42" s="14">
        <f>SUMIF(Stories!C2:C187,"MG-E28",Stories!H2:H187)</f>
        <v/>
      </c>
      <c r="E42" s="14">
        <f>COUNTIFS(Stories!C2:C187,"MG-E28",Stories!K2:K187,"Done")</f>
        <v/>
      </c>
      <c r="F42" s="14">
        <f>COUNTIFS(Stories!C2:C187,"MG-E28",Stories!K2:K187,"In Progress")</f>
        <v/>
      </c>
      <c r="G42" s="14">
        <f>COUNTIFS(Stories!C2:C187,"MG-E28",Stories!K2:K187,"Not Started")</f>
        <v/>
      </c>
    </row>
    <row r="43">
      <c r="A43" s="3" t="inlineStr">
        <is>
          <t>MG-E29</t>
        </is>
      </c>
      <c r="B43" s="3" t="inlineStr">
        <is>
          <t>Data Provider Editor</t>
        </is>
      </c>
      <c r="C43" s="13">
        <f>COUNTIF(Stories!C2:C187,"MG-E29")</f>
        <v/>
      </c>
      <c r="D43" s="13">
        <f>SUMIF(Stories!C2:C187,"MG-E29",Stories!H2:H187)</f>
        <v/>
      </c>
      <c r="E43" s="13">
        <f>COUNTIFS(Stories!C2:C187,"MG-E29",Stories!K2:K187,"Done")</f>
        <v/>
      </c>
      <c r="F43" s="13">
        <f>COUNTIFS(Stories!C2:C187,"MG-E29",Stories!K2:K187,"In Progress")</f>
        <v/>
      </c>
      <c r="G43" s="13">
        <f>COUNTIFS(Stories!C2:C187,"MG-E29",Stories!K2:K187,"Not Started")</f>
        <v/>
      </c>
    </row>
    <row r="44">
      <c r="A44" s="2" t="inlineStr">
        <is>
          <t>MG-E30</t>
        </is>
      </c>
      <c r="B44" s="2" t="inlineStr">
        <is>
          <t>Config Service Core</t>
        </is>
      </c>
      <c r="C44" s="14">
        <f>COUNTIF(Stories!C2:C187,"MG-E30")</f>
        <v/>
      </c>
      <c r="D44" s="14">
        <f>SUMIF(Stories!C2:C187,"MG-E30",Stories!H2:H187)</f>
        <v/>
      </c>
      <c r="E44" s="14">
        <f>COUNTIFS(Stories!C2:C187,"MG-E30",Stories!K2:K187,"Done")</f>
        <v/>
      </c>
      <c r="F44" s="14">
        <f>COUNTIFS(Stories!C2:C187,"MG-E30",Stories!K2:K187,"In Progress")</f>
        <v/>
      </c>
      <c r="G44" s="14">
        <f>COUNTIFS(Stories!C2:C187,"MG-E30",Stories!K2:K187,"Not Started")</f>
        <v/>
      </c>
    </row>
    <row r="45">
      <c r="A45" s="3" t="inlineStr">
        <is>
          <t>MG-E31</t>
        </is>
      </c>
      <c r="B45" s="3" t="inlineStr">
        <is>
          <t>Config Browser Tools</t>
        </is>
      </c>
      <c r="C45" s="13">
        <f>COUNTIF(Stories!C2:C187,"MG-E31")</f>
        <v/>
      </c>
      <c r="D45" s="13">
        <f>SUMIF(Stories!C2:C187,"MG-E31",Stories!H2:H187)</f>
        <v/>
      </c>
      <c r="E45" s="13">
        <f>COUNTIFS(Stories!C2:C187,"MG-E31",Stories!K2:K187,"Done")</f>
        <v/>
      </c>
      <c r="F45" s="13">
        <f>COUNTIFS(Stories!C2:C187,"MG-E31",Stories!K2:K187,"In Progress")</f>
        <v/>
      </c>
      <c r="G45" s="13">
        <f>COUNTIFS(Stories!C2:C187,"MG-E31",Stories!K2:K187,"Not Started")</f>
        <v/>
      </c>
    </row>
    <row r="46">
      <c r="A46" s="2" t="inlineStr">
        <is>
          <t>MG-E32</t>
        </is>
      </c>
      <c r="B46" s="2" t="inlineStr">
        <is>
          <t>Runtime Port &amp; Host Wrappers</t>
        </is>
      </c>
      <c r="C46" s="14">
        <f>COUNTIF(Stories!C2:C187,"MG-E32")</f>
        <v/>
      </c>
      <c r="D46" s="14">
        <f>SUMIF(Stories!C2:C187,"MG-E32",Stories!H2:H187)</f>
        <v/>
      </c>
      <c r="E46" s="14">
        <f>COUNTIFS(Stories!C2:C187,"MG-E32",Stories!K2:K187,"Done")</f>
        <v/>
      </c>
      <c r="F46" s="14">
        <f>COUNTIFS(Stories!C2:C187,"MG-E32",Stories!K2:K187,"In Progress")</f>
        <v/>
      </c>
      <c r="G46" s="14">
        <f>COUNTIFS(Stories!C2:C187,"MG-E32",Stories!K2:K187,"Not Started")</f>
        <v/>
      </c>
    </row>
    <row r="47">
      <c r="A47" s="3" t="inlineStr">
        <is>
          <t>MG-E33</t>
        </is>
      </c>
      <c r="B47" s="3" t="inlineStr">
        <is>
          <t>OpenFin Platform &amp; Workspace Integration</t>
        </is>
      </c>
      <c r="C47" s="13">
        <f>COUNTIF(Stories!C2:C187,"MG-E33")</f>
        <v/>
      </c>
      <c r="D47" s="13">
        <f>SUMIF(Stories!C2:C187,"MG-E33",Stories!H2:H187)</f>
        <v/>
      </c>
      <c r="E47" s="13">
        <f>COUNTIFS(Stories!C2:C187,"MG-E33",Stories!K2:K187,"Done")</f>
        <v/>
      </c>
      <c r="F47" s="13">
        <f>COUNTIFS(Stories!C2:C187,"MG-E33",Stories!K2:K187,"In Progress")</f>
        <v/>
      </c>
      <c r="G47" s="13">
        <f>COUNTIFS(Stories!C2:C187,"MG-E33",Stories!K2:K187,"Not Started")</f>
        <v/>
      </c>
    </row>
    <row r="48">
      <c r="A48" s="2" t="inlineStr">
        <is>
          <t>MG-E34</t>
        </is>
      </c>
      <c r="B48" s="2" t="inlineStr">
        <is>
          <t>Widget SDK &amp; Hosted Widgets</t>
        </is>
      </c>
      <c r="C48" s="14">
        <f>COUNTIF(Stories!C2:C187,"MG-E34")</f>
        <v/>
      </c>
      <c r="D48" s="14">
        <f>SUMIF(Stories!C2:C187,"MG-E34",Stories!H2:H187)</f>
        <v/>
      </c>
      <c r="E48" s="14">
        <f>COUNTIFS(Stories!C2:C187,"MG-E34",Stories!K2:K187,"Done")</f>
        <v/>
      </c>
      <c r="F48" s="14">
        <f>COUNTIFS(Stories!C2:C187,"MG-E34",Stories!K2:K187,"In Progress")</f>
        <v/>
      </c>
      <c r="G48" s="14">
        <f>COUNTIFS(Stories!C2:C187,"MG-E34",Stories!K2:K187,"Not Started")</f>
        <v/>
      </c>
    </row>
    <row r="49">
      <c r="A49" s="3" t="inlineStr">
        <is>
          <t>MG-E35</t>
        </is>
      </c>
      <c r="B49" s="3" t="inlineStr">
        <is>
          <t>shadcn UI Library</t>
        </is>
      </c>
      <c r="C49" s="13">
        <f>COUNTIF(Stories!C2:C187,"MG-E35")</f>
        <v/>
      </c>
      <c r="D49" s="13">
        <f>SUMIF(Stories!C2:C187,"MG-E35",Stories!H2:H187)</f>
        <v/>
      </c>
      <c r="E49" s="13">
        <f>COUNTIFS(Stories!C2:C187,"MG-E35",Stories!K2:K187,"Done")</f>
        <v/>
      </c>
      <c r="F49" s="13">
        <f>COUNTIFS(Stories!C2:C187,"MG-E35",Stories!K2:K187,"In Progress")</f>
        <v/>
      </c>
      <c r="G49" s="13">
        <f>COUNTIFS(Stories!C2:C187,"MG-E35",Stories!K2:K187,"Not Started")</f>
        <v/>
      </c>
    </row>
    <row r="50">
      <c r="A50" s="2" t="inlineStr">
        <is>
          <t>MG-E36</t>
        </is>
      </c>
      <c r="B50" s="2" t="inlineStr">
        <is>
          <t>Angular Infrastructure (parity prerequisites)</t>
        </is>
      </c>
      <c r="C50" s="14">
        <f>COUNTIF(Stories!C2:C187,"MG-E36")</f>
        <v/>
      </c>
      <c r="D50" s="14">
        <f>SUMIF(Stories!C2:C187,"MG-E36",Stories!H2:H187)</f>
        <v/>
      </c>
      <c r="E50" s="14">
        <f>COUNTIFS(Stories!C2:C187,"MG-E36",Stories!K2:K187,"Done")</f>
        <v/>
      </c>
      <c r="F50" s="14">
        <f>COUNTIFS(Stories!C2:C187,"MG-E36",Stories!K2:K187,"In Progress")</f>
        <v/>
      </c>
      <c r="G50" s="14">
        <f>COUNTIFS(Stories!C2:C187,"MG-E36",Stories!K2:K187,"Not Started")</f>
        <v/>
      </c>
    </row>
    <row r="51">
      <c r="A51" s="3" t="inlineStr">
        <is>
          <t>MG-E37</t>
        </is>
      </c>
      <c r="B51" s="3" t="inlineStr">
        <is>
          <t>Angular MarketsGrid — Core Widget</t>
        </is>
      </c>
      <c r="C51" s="13">
        <f>COUNTIF(Stories!C2:C187,"MG-E37")</f>
        <v/>
      </c>
      <c r="D51" s="13">
        <f>SUMIF(Stories!C2:C187,"MG-E37",Stories!H2:H187)</f>
        <v/>
      </c>
      <c r="E51" s="13">
        <f>COUNTIFS(Stories!C2:C187,"MG-E37",Stories!K2:K187,"Done")</f>
        <v/>
      </c>
      <c r="F51" s="13">
        <f>COUNTIFS(Stories!C2:C187,"MG-E37",Stories!K2:K187,"In Progress")</f>
        <v/>
      </c>
      <c r="G51" s="13">
        <f>COUNTIFS(Stories!C2:C187,"MG-E37",Stories!K2:K187,"Not Started")</f>
        <v/>
      </c>
    </row>
    <row r="52">
      <c r="A52" s="2" t="inlineStr">
        <is>
          <t>MG-E38</t>
        </is>
      </c>
      <c r="B52" s="2" t="inlineStr">
        <is>
          <t>Angular Module Panels Parity</t>
        </is>
      </c>
      <c r="C52" s="14">
        <f>COUNTIF(Stories!C2:C187,"MG-E38")</f>
        <v/>
      </c>
      <c r="D52" s="14">
        <f>SUMIF(Stories!C2:C187,"MG-E38",Stories!H2:H187)</f>
        <v/>
      </c>
      <c r="E52" s="14">
        <f>COUNTIFS(Stories!C2:C187,"MG-E38",Stories!K2:K187,"Done")</f>
        <v/>
      </c>
      <c r="F52" s="14">
        <f>COUNTIFS(Stories!C2:C187,"MG-E38",Stories!K2:K187,"In Progress")</f>
        <v/>
      </c>
      <c r="G52" s="14">
        <f>COUNTIFS(Stories!C2:C187,"MG-E38",Stories!K2:K187,"Not Started")</f>
        <v/>
      </c>
    </row>
    <row r="53">
      <c r="A53" s="3" t="inlineStr">
        <is>
          <t>MG-E39</t>
        </is>
      </c>
      <c r="B53" s="3" t="inlineStr">
        <is>
          <t>Reference Apps &amp; Build Infrastructure</t>
        </is>
      </c>
      <c r="C53" s="13">
        <f>COUNTIF(Stories!C2:C187,"MG-E39")</f>
        <v/>
      </c>
      <c r="D53" s="13">
        <f>SUMIF(Stories!C2:C187,"MG-E39",Stories!H2:H187)</f>
        <v/>
      </c>
      <c r="E53" s="13">
        <f>COUNTIFS(Stories!C2:C187,"MG-E39",Stories!K2:K187,"Done")</f>
        <v/>
      </c>
      <c r="F53" s="13">
        <f>COUNTIFS(Stories!C2:C187,"MG-E39",Stories!K2:K187,"In Progress")</f>
        <v/>
      </c>
      <c r="G53" s="13">
        <f>COUNTIFS(Stories!C2:C187,"MG-E39",Stories!K2:K187,"Not Started")</f>
        <v/>
      </c>
    </row>
    <row r="54">
      <c r="A54" s="2" t="inlineStr">
        <is>
          <t>MG-E40</t>
        </is>
      </c>
      <c r="B54" s="2" t="inlineStr">
        <is>
          <t>Angular UI Surfaces Parity</t>
        </is>
      </c>
      <c r="C54" s="14">
        <f>COUNTIF(Stories!C2:C187,"MG-E40")</f>
        <v/>
      </c>
      <c r="D54" s="14">
        <f>SUMIF(Stories!C2:C187,"MG-E40",Stories!H2:H187)</f>
        <v/>
      </c>
      <c r="E54" s="14">
        <f>COUNTIFS(Stories!C2:C187,"MG-E40",Stories!K2:K187,"Done")</f>
        <v/>
      </c>
      <c r="F54" s="14">
        <f>COUNTIFS(Stories!C2:C187,"MG-E40",Stories!K2:K187,"In Progress")</f>
        <v/>
      </c>
      <c r="G54" s="14">
        <f>COUNTIFS(Stories!C2:C187,"MG-E40",Stories!K2:K187,"Not Started")</f>
        <v/>
      </c>
    </row>
    <row r="55">
      <c r="A55" s="3" t="inlineStr">
        <is>
          <t>MG-E41</t>
        </is>
      </c>
      <c r="B55" s="3" t="inlineStr">
        <is>
          <t>Angular Integration Parity</t>
        </is>
      </c>
      <c r="C55" s="13">
        <f>COUNTIF(Stories!C2:C187,"MG-E41")</f>
        <v/>
      </c>
      <c r="D55" s="13">
        <f>SUMIF(Stories!C2:C187,"MG-E41",Stories!H2:H187)</f>
        <v/>
      </c>
      <c r="E55" s="13">
        <f>COUNTIFS(Stories!C2:C187,"MG-E41",Stories!K2:K187,"Done")</f>
        <v/>
      </c>
      <c r="F55" s="13">
        <f>COUNTIFS(Stories!C2:C187,"MG-E41",Stories!K2:K187,"In Progress")</f>
        <v/>
      </c>
      <c r="G55" s="13">
        <f>COUNTIFS(Stories!C2:C187,"MG-E41",Stories!K2:K187,"Not Started")</f>
        <v/>
      </c>
    </row>
    <row r="56">
      <c r="A56" s="2" t="inlineStr">
        <is>
          <t>MG-E42</t>
        </is>
      </c>
      <c r="B56" s="2" t="inlineStr">
        <is>
          <t>Cross-Framework Parity Invariants</t>
        </is>
      </c>
      <c r="C56" s="14">
        <f>COUNTIF(Stories!C2:C187,"MG-E42")</f>
        <v/>
      </c>
      <c r="D56" s="14">
        <f>SUMIF(Stories!C2:C187,"MG-E42",Stories!H2:H187)</f>
        <v/>
      </c>
      <c r="E56" s="14">
        <f>COUNTIFS(Stories!C2:C187,"MG-E42",Stories!K2:K187,"Done")</f>
        <v/>
      </c>
      <c r="F56" s="14">
        <f>COUNTIFS(Stories!C2:C187,"MG-E42",Stories!K2:K187,"In Progress")</f>
        <v/>
      </c>
      <c r="G56" s="14">
        <f>COUNTIFS(Stories!C2:C187,"MG-E42",Stories!K2:K187,"Not Started")</f>
        <v/>
      </c>
    </row>
    <row r="59">
      <c r="A59" s="12" t="inlineStr">
        <is>
          <t>Status Rollup</t>
        </is>
      </c>
    </row>
    <row r="60">
      <c r="A60" s="1" t="inlineStr">
        <is>
          <t>Status</t>
        </is>
      </c>
      <c r="B60" s="1" t="inlineStr">
        <is>
          <t>Stories</t>
        </is>
      </c>
      <c r="C60" s="1" t="inlineStr">
        <is>
          <t>Points</t>
        </is>
      </c>
    </row>
    <row r="61">
      <c r="A61" s="15" t="inlineStr">
        <is>
          <t>Done</t>
        </is>
      </c>
      <c r="B61" s="16">
        <f>COUNTIF(Stories!K2:K187,"Done")</f>
        <v/>
      </c>
      <c r="C61" s="16">
        <f>SUMIFS(Stories!H2:H187,Stories!K2:K187,"Done")</f>
        <v/>
      </c>
    </row>
    <row r="62">
      <c r="A62" s="17" t="inlineStr">
        <is>
          <t>In Progress</t>
        </is>
      </c>
      <c r="B62" s="16">
        <f>COUNTIF(Stories!K2:K187,"In Progress")</f>
        <v/>
      </c>
      <c r="C62" s="16">
        <f>SUMIFS(Stories!H2:H187,Stories!K2:K187,"In Progress")</f>
        <v/>
      </c>
    </row>
    <row r="63">
      <c r="A63" s="18" t="inlineStr">
        <is>
          <t>Not Started</t>
        </is>
      </c>
      <c r="B63" s="16">
        <f>COUNTIF(Stories!K2:K187,"Not Started")</f>
        <v/>
      </c>
      <c r="C63" s="16">
        <f>SUMIFS(Stories!H2:H187,Stories!K2:K187,"Not Started")</f>
        <v/>
      </c>
    </row>
    <row r="66">
      <c r="A66" s="12" t="inlineStr">
        <is>
          <t>React vs Angular Effort Split</t>
        </is>
      </c>
    </row>
    <row r="67">
      <c r="A67" s="1" t="inlineStr">
        <is>
          <t>Slice</t>
        </is>
      </c>
      <c r="B67" s="1" t="inlineStr">
        <is>
          <t>Stories</t>
        </is>
      </c>
      <c r="C67" s="1" t="inlineStr">
        <is>
          <t>Points</t>
        </is>
      </c>
    </row>
    <row r="68">
      <c r="A68" s="19" t="inlineStr">
        <is>
          <t>Angular parity (E36+E37+E38+E40+E41+E42)</t>
        </is>
      </c>
      <c r="B68" s="16">
        <f>SUMPRODUCT((Stories!$C$2:$C$187="MG-E37")+(Stories!$C$2:$C$187="MG-E36")+(Stories!$C$2:$C$187="MG-E40")+(Stories!$C$2:$C$187="MG-E41")+(Stories!$C$2:$C$187="MG-E38")+(Stories!$C$2:$C$187="MG-E42"))</f>
        <v/>
      </c>
      <c r="C68" s="16">
        <f>SUMPRODUCT(((Stories!$C$2:$C$187="MG-E37")+(Stories!$C$2:$C$187="MG-E36")+(Stories!$C$2:$C$187="MG-E40")+(Stories!$C$2:$C$187="MG-E41")+(Stories!$C$2:$C$187="MG-E38")+(Stories!$C$2:$C$187="MG-E42"))*Stories!$H$2:$H$187)</f>
        <v/>
      </c>
    </row>
    <row r="69">
      <c r="A69" s="19" t="inlineStr">
        <is>
          <t>React + shared core (everything else)</t>
        </is>
      </c>
      <c r="B69" s="16">
        <f>SUMPRODUCT((Stories!$C$2:$C$187&lt;&gt;"MG-E37")*(Stories!$C$2:$C$187&lt;&gt;"MG-E36")*(Stories!$C$2:$C$187&lt;&gt;"MG-E40")*(Stories!$C$2:$C$187&lt;&gt;"MG-E41")*(Stories!$C$2:$C$187&lt;&gt;"MG-E38")*(Stories!$C$2:$C$187&lt;&gt;"MG-E42"))</f>
        <v/>
      </c>
      <c r="C69" s="16">
        <f>SUMPRODUCT((Stories!$C$2:$C$187&lt;&gt;"MG-E37")*(Stories!$C$2:$C$187&lt;&gt;"MG-E36")*(Stories!$C$2:$C$187&lt;&gt;"MG-E40")*(Stories!$C$2:$C$187&lt;&gt;"MG-E41")*(Stories!$C$2:$C$187&lt;&gt;"MG-E38")*(Stories!$C$2:$C$187&lt;&gt;"MG-E42")*Stories!$H$2:$H$187)</f>
        <v/>
      </c>
    </row>
    <row r="70">
      <c r="A70" s="20" t="inlineStr">
        <is>
          <t>TOTAL</t>
        </is>
      </c>
      <c r="B70" s="21">
        <f>COUNTA(Stories!B2:B187)</f>
        <v/>
      </c>
      <c r="C70" s="21">
        <f>SUM(Stories!H2:H187)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2026-05-12T18:18:08Z</dcterms:created>
  <dcterms:modified xsi:type="dcterms:W3CDTF">2026-05-12T18:18:08Z</dcterms:modified>
</cp:coreProperties>
</file>